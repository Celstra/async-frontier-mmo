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ources" sheetId="1" state="visible" r:id="rId3"/>
    <sheet name="Weights" sheetId="2" state="visible" r:id="rId4"/>
    <sheet name="Craft Model" sheetId="3" state="visible" r:id="rId5"/>
    <sheet name="Tuning &amp; Modes" sheetId="4" state="visible" r:id="rId6"/>
    <sheet name="Find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<sst xmlns="http://schemas.openxmlformats.org/spreadsheetml/2006/main" count="1096" uniqueCount="84">
  <si>
    <t xml:space="preserve">Named Resource</t>
  </si>
  <si>
    <t xml:space="preserve">OQ</t>
  </si>
  <si>
    <t xml:space="preserve">Conductivity</t>
  </si>
  <si>
    <t xml:space="preserve">Hardness</t>
  </si>
  <si>
    <t xml:space="preserve">Heat Resistance</t>
  </si>
  <si>
    <t xml:space="preserve">Malleability</t>
  </si>
  <si>
    <t xml:space="preserve">Family</t>
  </si>
  <si>
    <t xml:space="preserve">Keth Iron</t>
  </si>
  <si>
    <t xml:space="preserve">SA</t>
  </si>
  <si>
    <t xml:space="preserve">Asterion Frame Alloy</t>
  </si>
  <si>
    <t xml:space="preserve">Bendrel Ridge Alloy</t>
  </si>
  <si>
    <t xml:space="preserve">Red Mesa Conductive Slag</t>
  </si>
  <si>
    <t xml:space="preserve">CM</t>
  </si>
  <si>
    <t xml:space="preserve">Veyrith Copper</t>
  </si>
  <si>
    <t xml:space="preserve">Sorrel Vein Copper</t>
  </si>
  <si>
    <t xml:space="preserve">Pale Ember Crystal</t>
  </si>
  <si>
    <t xml:space="preserve">RC</t>
  </si>
  <si>
    <t xml:space="preserve">Thornwake Crystal</t>
  </si>
  <si>
    <t xml:space="preserve">Glimmerfall Shard</t>
  </si>
  <si>
    <t xml:space="preserve">Decision 010/021 locked prototype stats (1–1000). Blue = inputs you can tune.</t>
  </si>
  <si>
    <t xml:space="preserve">Recipe</t>
  </si>
  <si>
    <t xml:space="preserve">Property</t>
  </si>
  <si>
    <t xml:space="preserve">w1</t>
  </si>
  <si>
    <t xml:space="preserve">slot1</t>
  </si>
  <si>
    <t xml:space="preserve">stat1</t>
  </si>
  <si>
    <t xml:space="preserve">w2</t>
  </si>
  <si>
    <t xml:space="preserve">slot2</t>
  </si>
  <si>
    <t xml:space="preserve">stat2</t>
  </si>
  <si>
    <t xml:space="preserve">w3</t>
  </si>
  <si>
    <t xml:space="preserve">slot3</t>
  </si>
  <si>
    <t xml:space="preserve">stat3</t>
  </si>
  <si>
    <t xml:space="preserve">Basic Drill Head</t>
  </si>
  <si>
    <t xml:space="preserve">Extraction Rate</t>
  </si>
  <si>
    <t xml:space="preserve">Depth Access</t>
  </si>
  <si>
    <t xml:space="preserve">Wear Control</t>
  </si>
  <si>
    <t xml:space="preserve">Efficient Pump</t>
  </si>
  <si>
    <t xml:space="preserve">Recovery Efficiency</t>
  </si>
  <si>
    <t xml:space="preserve">Clog Resistance</t>
  </si>
  <si>
    <t xml:space="preserve">Field Stability</t>
  </si>
  <si>
    <t xml:space="preserve">Reinforced Hull Plate</t>
  </si>
  <si>
    <t xml:space="preserve">Max Condition</t>
  </si>
  <si>
    <t xml:space="preserve">Damage Reduction</t>
  </si>
  <si>
    <t xml:space="preserve">Repairability</t>
  </si>
  <si>
    <t xml:space="preserve">Survey Scanner Module Mk I</t>
  </si>
  <si>
    <t xml:space="preserve">Survey Clarity</t>
  </si>
  <si>
    <t xml:space="preserve">Stat Hint Accuracy</t>
  </si>
  <si>
    <t xml:space="preserve">Signal Range</t>
  </si>
  <si>
    <t xml:space="preserve">Field Repair Kit</t>
  </si>
  <si>
    <t xml:space="preserve">Condition Restored</t>
  </si>
  <si>
    <t xml:space="preserve">Integrity Safety</t>
  </si>
  <si>
    <t xml:space="preserve">Field Reliability</t>
  </si>
  <si>
    <t xml:space="preserve">slot: 1/2/3 = recipe slot; 0 = average OQ of all three resources. Blue = tunable inputs.</t>
  </si>
  <si>
    <t xml:space="preserve">Weights include LOCKED Decisions 016 A/B and 021-A. Blue = tunable inputs.</t>
  </si>
  <si>
    <t xml:space="preserve">Slot 1</t>
  </si>
  <si>
    <t xml:space="preserve">Slot 2</t>
  </si>
  <si>
    <t xml:space="preserve">Slot 3</t>
  </si>
  <si>
    <t xml:space="preserve">Avg OQ</t>
  </si>
  <si>
    <t xml:space="preserve">Prop 1</t>
  </si>
  <si>
    <t xml:space="preserve">Score</t>
  </si>
  <si>
    <t xml:space="preserve">Band</t>
  </si>
  <si>
    <t xml:space="preserve">Prop 2</t>
  </si>
  <si>
    <t xml:space="preserve">Prop 3</t>
  </si>
  <si>
    <t xml:space="preserve">Best line +3 pts</t>
  </si>
  <si>
    <t xml:space="preserve">Tuning and craft-mode model (Decision 010)</t>
  </si>
  <si>
    <t xml:space="preserve">Base property score (link any Craft Model score here)</t>
  </si>
  <si>
    <t xml:space="preserve">Tuning points on this line (0–3)</t>
  </si>
  <si>
    <t xml:space="preserve">Tuned score = MIN(100, base × (1 + 0.05 × pts))</t>
  </si>
  <si>
    <t xml:space="preserve">Safe Craft result</t>
  </si>
  <si>
    <t xml:space="preserve">Careful Experiment: 75% upside result (+3%)</t>
  </si>
  <si>
    <t xml:space="preserve">Careful Experiment expected value</t>
  </si>
  <si>
    <t xml:space="preserve">Careful Experiment flaw risk</t>
  </si>
  <si>
    <t xml:space="preserve">Resource primacy check (Decision 009): worst combo fully tuned vs best combo untuned</t>
  </si>
  <si>
    <t xml:space="preserve">Best scanner combo, Survey Clarity, untuned</t>
  </si>
  <si>
    <t xml:space="preserve">Worst scanner combo, Survey Clarity, +3 points</t>
  </si>
  <si>
    <t xml:space="preserve">Gap tuning cannot close</t>
  </si>
  <si>
    <t xml:space="preserve">Economy Model — Decisions 010 + 016 + 021 (all LOCKED), nine-resource seed bloom (2026-06-10)</t>
  </si>
  <si>
    <t xml:space="preserve">PASS — Resource primacy: tuning (+15% max on one line) never closes a two-band resource gap.</t>
  </si>
  <si>
    <t xml:space="preserve">PASS — Allocation: best CM differs by context (Veyrith=scanner/drill, Sorrel=pump stability, Slag=repair filament).</t>
  </si>
  <si>
    <t xml:space="preserve">PASS — Tempting-but-risky: Thornwake is the best Survey Clarity lens and the worst on the other two scanner lines.</t>
  </si>
  <si>
    <t xml:space="preserve">ROLE — Keth Iron and Glimmerfall Shard win no stat contest by design: bulk/OQ-filler archetypes (high concentration ranges).</t>
  </si>
  <si>
    <t xml:space="preserve">Monte Carlo (3/family, 8000 blooms): median best craft 86.1; exciting 58.2%; mediocre 0.8%; floor 0.00%;</t>
  </si>
  <si>
    <t xml:space="preserve">CM allocation decision exists in 87.8% of blooms. Knob if peaks feel common: skew stat rolls low.</t>
  </si>
  <si>
    <t xml:space="preserve">All weights editable on the Weights sheet; resource stats on the Resources sheet. Sims: stage1_sim.py,</t>
  </si>
  <si>
    <t xml:space="preserve">bloom_variance_sim.py, run_duration_sim.py. Canon: DECISION_LOG.md Decisions 001–021.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</si>
</sst>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94858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9485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4" t="n">
        <v>520</v>
      </c>
      <c r="C2" s="4" t="n">
        <v>220</v>
      </c>
      <c r="D2" s="4" t="n">
        <v>650</v>
      </c>
      <c r="E2" s="4" t="n">
        <v>480</v>
      </c>
      <c r="F2" s="4" t="n">
        <v>560</v>
      </c>
      <c r="G2" s="3" t="s">
        <v>8</v>
      </c>
    </row>
    <row r="3" customFormat="false" ht="15" hidden="false" customHeight="true" outlineLevel="0" collapsed="false">
      <c r="A3" s="3" t="s">
        <v>9</v>
      </c>
      <c r="B3" s="4" t="n">
        <v>690</v>
      </c>
      <c r="C3" s="4" t="n">
        <v>260</v>
      </c>
      <c r="D3" s="4" t="n">
        <v>850</v>
      </c>
      <c r="E3" s="4" t="n">
        <v>610</v>
      </c>
      <c r="F3" s="4" t="n">
        <v>760</v>
      </c>
      <c r="G3" s="3" t="s">
        <v>8</v>
      </c>
    </row>
    <row r="4" customFormat="false" ht="15" hidden="false" customHeight="true" outlineLevel="0" collapsed="false">
      <c r="A4" s="3" t="s">
        <v>10</v>
      </c>
      <c r="B4" s="4" t="n">
        <v>610</v>
      </c>
      <c r="C4" s="4" t="n">
        <v>150</v>
      </c>
      <c r="D4" s="4" t="n">
        <v>430</v>
      </c>
      <c r="E4" s="4" t="n">
        <v>330</v>
      </c>
      <c r="F4" s="4" t="n">
        <v>880</v>
      </c>
      <c r="G4" s="3" t="s">
        <v>8</v>
      </c>
    </row>
    <row r="5" customFormat="false" ht="15" hidden="false" customHeight="true" outlineLevel="0" collapsed="false">
      <c r="A5" s="3" t="s">
        <v>11</v>
      </c>
      <c r="B5" s="4" t="n">
        <v>340</v>
      </c>
      <c r="C5" s="4" t="n">
        <v>610</v>
      </c>
      <c r="D5" s="4" t="n">
        <v>310</v>
      </c>
      <c r="E5" s="4" t="n">
        <v>720</v>
      </c>
      <c r="F5" s="4" t="n">
        <v>390</v>
      </c>
      <c r="G5" s="3" t="s">
        <v>12</v>
      </c>
    </row>
    <row r="6" customFormat="false" ht="15" hidden="false" customHeight="true" outlineLevel="0" collapsed="false">
      <c r="A6" s="3" t="s">
        <v>13</v>
      </c>
      <c r="B6" s="4" t="n">
        <v>820</v>
      </c>
      <c r="C6" s="4" t="n">
        <v>930</v>
      </c>
      <c r="D6" s="4" t="n">
        <v>260</v>
      </c>
      <c r="E6" s="4" t="n">
        <v>540</v>
      </c>
      <c r="F6" s="4" t="n">
        <v>620</v>
      </c>
      <c r="G6" s="3" t="s">
        <v>12</v>
      </c>
    </row>
    <row r="7" customFormat="false" ht="15" hidden="false" customHeight="true" outlineLevel="0" collapsed="false">
      <c r="A7" s="3" t="s">
        <v>14</v>
      </c>
      <c r="B7" s="4" t="n">
        <v>560</v>
      </c>
      <c r="C7" s="4" t="n">
        <v>640</v>
      </c>
      <c r="D7" s="4" t="n">
        <v>210</v>
      </c>
      <c r="E7" s="4" t="n">
        <v>430</v>
      </c>
      <c r="F7" s="4" t="n">
        <v>760</v>
      </c>
      <c r="G7" s="3" t="s">
        <v>12</v>
      </c>
    </row>
    <row r="8" customFormat="false" ht="15" hidden="false" customHeight="true" outlineLevel="0" collapsed="false">
      <c r="A8" s="3" t="s">
        <v>15</v>
      </c>
      <c r="B8" s="4" t="n">
        <v>680</v>
      </c>
      <c r="C8" s="4" t="n">
        <v>520</v>
      </c>
      <c r="D8" s="4" t="n">
        <v>360</v>
      </c>
      <c r="E8" s="4" t="n">
        <v>880</v>
      </c>
      <c r="F8" s="4" t="n">
        <v>470</v>
      </c>
      <c r="G8" s="3" t="s">
        <v>16</v>
      </c>
    </row>
    <row r="9" customFormat="false" ht="15" hidden="false" customHeight="true" outlineLevel="0" collapsed="false">
      <c r="A9" s="3" t="s">
        <v>17</v>
      </c>
      <c r="B9" s="4" t="n">
        <v>590</v>
      </c>
      <c r="C9" s="4" t="n">
        <v>910</v>
      </c>
      <c r="D9" s="4" t="n">
        <v>420</v>
      </c>
      <c r="E9" s="4" t="n">
        <v>210</v>
      </c>
      <c r="F9" s="4" t="n">
        <v>160</v>
      </c>
      <c r="G9" s="3" t="s">
        <v>16</v>
      </c>
    </row>
    <row r="10" customFormat="false" ht="15" hidden="false" customHeight="true" outlineLevel="0" collapsed="false">
      <c r="A10" s="3" t="s">
        <v>18</v>
      </c>
      <c r="B10" s="4" t="n">
        <v>800</v>
      </c>
      <c r="C10" s="4" t="n">
        <v>680</v>
      </c>
      <c r="D10" s="4" t="n">
        <v>300</v>
      </c>
      <c r="E10" s="4" t="n">
        <v>640</v>
      </c>
      <c r="F10" s="4" t="n">
        <v>210</v>
      </c>
      <c r="G10" s="3" t="s">
        <v>16</v>
      </c>
    </row>
    <row r="12" customFormat="false" ht="15" hidden="false" customHeight="true" outlineLevel="0" collapsed="false">
      <c r="A12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5" min="4" style="1" width="15"/>
    <col collapsed="false" customWidth="true" hidden="false" outlineLevel="0" max="8" min="7" style="1" width="15"/>
    <col collapsed="false" customWidth="true" hidden="false" outlineLevel="0" max="11" min="10" style="1" width="15"/>
  </cols>
  <sheetData>
    <row r="1" customFormat="false" ht="15" hidden="false" customHeight="tru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</row>
    <row r="2" customFormat="false" ht="15" hidden="false" customHeight="true" outlineLevel="0" collapsed="false">
      <c r="A2" s="3" t="s">
        <v>31</v>
      </c>
      <c r="B2" s="3" t="s">
        <v>32</v>
      </c>
      <c r="C2" s="4" t="n">
        <v>0.5</v>
      </c>
      <c r="D2" s="4" t="n">
        <v>1</v>
      </c>
      <c r="E2" s="4" t="s">
        <v>3</v>
      </c>
      <c r="F2" s="4" t="n">
        <v>0.3</v>
      </c>
      <c r="G2" s="4" t="n">
        <v>2</v>
      </c>
      <c r="H2" s="4" t="s">
        <v>2</v>
      </c>
      <c r="I2" s="4" t="n">
        <v>0.2</v>
      </c>
      <c r="J2" s="4" t="n">
        <v>0</v>
      </c>
      <c r="K2" s="4" t="s">
        <v>1</v>
      </c>
    </row>
    <row r="3" customFormat="false" ht="15" hidden="false" customHeight="true" outlineLevel="0" collapsed="false">
      <c r="A3" s="3" t="s">
        <v>31</v>
      </c>
      <c r="B3" s="3" t="s">
        <v>33</v>
      </c>
      <c r="C3" s="4" t="n">
        <v>0.5</v>
      </c>
      <c r="D3" s="4" t="n">
        <v>1</v>
      </c>
      <c r="E3" s="4" t="s">
        <v>3</v>
      </c>
      <c r="F3" s="4" t="n">
        <v>0.3</v>
      </c>
      <c r="G3" s="4" t="n">
        <v>3</v>
      </c>
      <c r="H3" s="4" t="s">
        <v>4</v>
      </c>
      <c r="I3" s="4" t="n">
        <v>0.2</v>
      </c>
      <c r="J3" s="4" t="n">
        <v>0</v>
      </c>
      <c r="K3" s="4" t="s">
        <v>1</v>
      </c>
    </row>
    <row r="4" customFormat="false" ht="15" hidden="false" customHeight="true" outlineLevel="0" collapsed="false">
      <c r="A4" s="3" t="s">
        <v>31</v>
      </c>
      <c r="B4" s="3" t="s">
        <v>34</v>
      </c>
      <c r="C4" s="4" t="n">
        <v>0.45</v>
      </c>
      <c r="D4" s="4" t="n">
        <v>3</v>
      </c>
      <c r="E4" s="4" t="s">
        <v>4</v>
      </c>
      <c r="F4" s="4" t="n">
        <v>0.35</v>
      </c>
      <c r="G4" s="4" t="n">
        <v>1</v>
      </c>
      <c r="H4" s="4" t="s">
        <v>5</v>
      </c>
      <c r="I4" s="4" t="n">
        <v>0.2</v>
      </c>
      <c r="J4" s="4" t="n">
        <v>0</v>
      </c>
      <c r="K4" s="4" t="s">
        <v>1</v>
      </c>
    </row>
    <row r="5" customFormat="false" ht="15" hidden="false" customHeight="true" outlineLevel="0" collapsed="false">
      <c r="A5" s="3" t="s">
        <v>35</v>
      </c>
      <c r="B5" s="3" t="s">
        <v>36</v>
      </c>
      <c r="C5" s="4" t="n">
        <v>0.45</v>
      </c>
      <c r="D5" s="4" t="n">
        <v>1</v>
      </c>
      <c r="E5" s="4" t="s">
        <v>2</v>
      </c>
      <c r="F5" s="4" t="n">
        <v>0.35</v>
      </c>
      <c r="G5" s="4" t="n">
        <v>2</v>
      </c>
      <c r="H5" s="4" t="s">
        <v>5</v>
      </c>
      <c r="I5" s="4" t="n">
        <v>0.2</v>
      </c>
      <c r="J5" s="4" t="n">
        <v>0</v>
      </c>
      <c r="K5" s="4" t="s">
        <v>1</v>
      </c>
    </row>
    <row r="6" customFormat="false" ht="15" hidden="false" customHeight="true" outlineLevel="0" collapsed="false">
      <c r="A6" s="3" t="s">
        <v>35</v>
      </c>
      <c r="B6" s="3" t="s">
        <v>37</v>
      </c>
      <c r="C6" s="4" t="n">
        <v>0.45</v>
      </c>
      <c r="D6" s="4" t="n">
        <v>2</v>
      </c>
      <c r="E6" s="4" t="s">
        <v>5</v>
      </c>
      <c r="F6" s="4" t="n">
        <v>0.3</v>
      </c>
      <c r="G6" s="4" t="n">
        <v>2</v>
      </c>
      <c r="H6" s="4" t="s">
        <v>3</v>
      </c>
      <c r="I6" s="4" t="n">
        <v>0.25</v>
      </c>
      <c r="J6" s="4" t="n">
        <v>0</v>
      </c>
      <c r="K6" s="4" t="s">
        <v>1</v>
      </c>
    </row>
    <row r="7" customFormat="false" ht="15" hidden="false" customHeight="true" outlineLevel="0" collapsed="false">
      <c r="A7" s="3" t="s">
        <v>35</v>
      </c>
      <c r="B7" s="3" t="s">
        <v>38</v>
      </c>
      <c r="C7" s="4" t="n">
        <v>0.45</v>
      </c>
      <c r="D7" s="4" t="n">
        <v>3</v>
      </c>
      <c r="E7" s="4" t="s">
        <v>4</v>
      </c>
      <c r="F7" s="4" t="n">
        <v>0.35</v>
      </c>
      <c r="G7" s="4" t="n">
        <v>1</v>
      </c>
      <c r="H7" s="4" t="s">
        <v>5</v>
      </c>
      <c r="I7" s="4" t="n">
        <v>0.2</v>
      </c>
      <c r="J7" s="4" t="n">
        <v>0</v>
      </c>
      <c r="K7" s="4" t="s">
        <v>1</v>
      </c>
    </row>
    <row r="8" customFormat="false" ht="15" hidden="false" customHeight="true" outlineLevel="0" collapsed="false">
      <c r="A8" s="3" t="s">
        <v>39</v>
      </c>
      <c r="B8" s="3" t="s">
        <v>40</v>
      </c>
      <c r="C8" s="4" t="n">
        <v>0.45</v>
      </c>
      <c r="D8" s="4" t="n">
        <v>1</v>
      </c>
      <c r="E8" s="4" t="s">
        <v>3</v>
      </c>
      <c r="F8" s="4" t="n">
        <v>0.3</v>
      </c>
      <c r="G8" s="4" t="n">
        <v>2</v>
      </c>
      <c r="H8" s="4" t="s">
        <v>5</v>
      </c>
      <c r="I8" s="4" t="n">
        <v>0.25</v>
      </c>
      <c r="J8" s="4" t="n">
        <v>0</v>
      </c>
      <c r="K8" s="4" t="s">
        <v>1</v>
      </c>
    </row>
    <row r="9" customFormat="false" ht="15" hidden="false" customHeight="true" outlineLevel="0" collapsed="false">
      <c r="A9" s="3" t="s">
        <v>39</v>
      </c>
      <c r="B9" s="3" t="s">
        <v>41</v>
      </c>
      <c r="C9" s="4" t="n">
        <v>0.5</v>
      </c>
      <c r="D9" s="4" t="n">
        <v>1</v>
      </c>
      <c r="E9" s="4" t="s">
        <v>3</v>
      </c>
      <c r="F9" s="4" t="n">
        <v>0.3</v>
      </c>
      <c r="G9" s="4" t="n">
        <v>3</v>
      </c>
      <c r="H9" s="4" t="s">
        <v>4</v>
      </c>
      <c r="I9" s="4" t="n">
        <v>0.2</v>
      </c>
      <c r="J9" s="4" t="n">
        <v>0</v>
      </c>
      <c r="K9" s="4" t="s">
        <v>1</v>
      </c>
    </row>
    <row r="10" customFormat="false" ht="15" hidden="false" customHeight="true" outlineLevel="0" collapsed="false">
      <c r="A10" s="3" t="s">
        <v>39</v>
      </c>
      <c r="B10" s="3" t="s">
        <v>42</v>
      </c>
      <c r="C10" s="4" t="n">
        <v>0.45</v>
      </c>
      <c r="D10" s="4" t="n">
        <v>2</v>
      </c>
      <c r="E10" s="4" t="s">
        <v>5</v>
      </c>
      <c r="F10" s="4" t="n">
        <v>0.35</v>
      </c>
      <c r="G10" s="4" t="n">
        <v>0</v>
      </c>
      <c r="H10" s="4" t="s">
        <v>1</v>
      </c>
      <c r="I10" s="4" t="n">
        <v>0.2</v>
      </c>
      <c r="J10" s="4" t="n">
        <v>1</v>
      </c>
      <c r="K10" s="4" t="s">
        <v>3</v>
      </c>
    </row>
    <row r="11" customFormat="false" ht="15" hidden="false" customHeight="true" outlineLevel="0" collapsed="false">
      <c r="A11" s="3" t="s">
        <v>43</v>
      </c>
      <c r="B11" s="3" t="s">
        <v>44</v>
      </c>
      <c r="C11" s="4" t="n">
        <v>0.6</v>
      </c>
      <c r="D11" s="4" t="n">
        <v>1</v>
      </c>
      <c r="E11" s="4" t="s">
        <v>2</v>
      </c>
      <c r="F11" s="4" t="n">
        <v>0.25</v>
      </c>
      <c r="G11" s="4" t="n">
        <v>2</v>
      </c>
      <c r="H11" s="4" t="s">
        <v>2</v>
      </c>
      <c r="I11" s="4" t="n">
        <v>0.15</v>
      </c>
      <c r="J11" s="4" t="n">
        <v>0</v>
      </c>
      <c r="K11" s="4" t="s">
        <v>1</v>
      </c>
    </row>
    <row r="12" customFormat="false" ht="15" hidden="false" customHeight="true" outlineLevel="0" collapsed="false">
      <c r="A12" s="3" t="s">
        <v>43</v>
      </c>
      <c r="B12" s="3" t="s">
        <v>45</v>
      </c>
      <c r="C12" s="4" t="n">
        <v>0.5</v>
      </c>
      <c r="D12" s="4" t="n">
        <v>1</v>
      </c>
      <c r="E12" s="4" t="s">
        <v>2</v>
      </c>
      <c r="F12" s="4" t="n">
        <v>0.3</v>
      </c>
      <c r="G12" s="4" t="n">
        <v>2</v>
      </c>
      <c r="H12" s="4" t="s">
        <v>4</v>
      </c>
      <c r="I12" s="4" t="n">
        <v>0.2</v>
      </c>
      <c r="J12" s="4" t="n">
        <v>0</v>
      </c>
      <c r="K12" s="4" t="s">
        <v>1</v>
      </c>
    </row>
    <row r="13" customFormat="false" ht="15" hidden="false" customHeight="true" outlineLevel="0" collapsed="false">
      <c r="A13" s="3" t="s">
        <v>43</v>
      </c>
      <c r="B13" s="3" t="s">
        <v>46</v>
      </c>
      <c r="C13" s="4" t="n">
        <v>0.55</v>
      </c>
      <c r="D13" s="4" t="n">
        <v>1</v>
      </c>
      <c r="E13" s="4" t="s">
        <v>2</v>
      </c>
      <c r="F13" s="4" t="n">
        <v>0.25</v>
      </c>
      <c r="G13" s="4" t="n">
        <v>2</v>
      </c>
      <c r="H13" s="4" t="s">
        <v>4</v>
      </c>
      <c r="I13" s="4" t="n">
        <v>0.2</v>
      </c>
      <c r="J13" s="4" t="n">
        <v>0</v>
      </c>
      <c r="K13" s="4" t="s">
        <v>1</v>
      </c>
    </row>
    <row r="14" customFormat="false" ht="15" hidden="false" customHeight="true" outlineLevel="0" collapsed="false">
      <c r="A14" s="3" t="s">
        <v>47</v>
      </c>
      <c r="B14" s="3" t="s">
        <v>48</v>
      </c>
      <c r="C14" s="4" t="n">
        <v>0.45</v>
      </c>
      <c r="D14" s="4" t="n">
        <v>1</v>
      </c>
      <c r="E14" s="4" t="s">
        <v>5</v>
      </c>
      <c r="F14" s="4" t="n">
        <v>0.35</v>
      </c>
      <c r="G14" s="4" t="n">
        <v>0</v>
      </c>
      <c r="H14" s="4" t="s">
        <v>1</v>
      </c>
      <c r="I14" s="4" t="n">
        <v>0.2</v>
      </c>
      <c r="J14" s="4" t="n">
        <v>1</v>
      </c>
      <c r="K14" s="4" t="s">
        <v>3</v>
      </c>
    </row>
    <row r="15" customFormat="false" ht="15" hidden="false" customHeight="true" outlineLevel="0" collapsed="false">
      <c r="A15" s="3" t="s">
        <v>47</v>
      </c>
      <c r="B15" s="3" t="s">
        <v>49</v>
      </c>
      <c r="C15" s="4" t="n">
        <v>0.4</v>
      </c>
      <c r="D15" s="4" t="n">
        <v>1</v>
      </c>
      <c r="E15" s="4" t="s">
        <v>3</v>
      </c>
      <c r="F15" s="4" t="n">
        <v>0.3</v>
      </c>
      <c r="G15" s="4" t="n">
        <v>3</v>
      </c>
      <c r="H15" s="4" t="s">
        <v>4</v>
      </c>
      <c r="I15" s="4" t="n">
        <v>0.3</v>
      </c>
      <c r="J15" s="4" t="n">
        <v>0</v>
      </c>
      <c r="K15" s="4" t="s">
        <v>1</v>
      </c>
    </row>
    <row r="16" customFormat="false" ht="15" hidden="false" customHeight="true" outlineLevel="0" collapsed="false">
      <c r="A16" s="3" t="s">
        <v>47</v>
      </c>
      <c r="B16" s="3" t="s">
        <v>50</v>
      </c>
      <c r="C16" s="4" t="n">
        <v>0.45</v>
      </c>
      <c r="D16" s="4" t="n">
        <v>3</v>
      </c>
      <c r="E16" s="4" t="s">
        <v>4</v>
      </c>
      <c r="F16" s="4" t="n">
        <v>0.35</v>
      </c>
      <c r="G16" s="4" t="n">
        <v>2</v>
      </c>
      <c r="H16" s="4" t="s">
        <v>4</v>
      </c>
      <c r="I16" s="4" t="n">
        <v>0.2</v>
      </c>
      <c r="J16" s="4" t="n">
        <v>0</v>
      </c>
      <c r="K16" s="4" t="s">
        <v>1</v>
      </c>
    </row>
    <row r="18" customFormat="false" ht="15" hidden="false" customHeight="true" outlineLevel="0" collapsed="false">
      <c r="A18" s="5" t="s">
        <v>51</v>
      </c>
    </row>
    <row r="19" customFormat="false" ht="15" hidden="false" customHeight="true" outlineLevel="0" collapsed="false">
      <c r="A19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24"/>
    <col collapsed="false" customWidth="true" hidden="false" outlineLevel="0" max="6" min="6" style="1" width="18"/>
    <col collapsed="false" customWidth="true" hidden="false" outlineLevel="0" max="9" min="9" style="1" width="18"/>
    <col collapsed="false" customWidth="true" hidden="false" outlineLevel="0" max="12" min="12" style="1" width="18"/>
    <col collapsed="false" customWidth="true" hidden="false" outlineLevel="0" max="15" min="15" style="1" width="18"/>
  </cols>
  <sheetData>
    <row r="1" customFormat="false" ht="15" hidden="false" customHeight="true" outlineLevel="0" collapsed="false">
      <c r="A1" s="2" t="s">
        <v>20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58</v>
      </c>
      <c r="K1" s="2" t="s">
        <v>59</v>
      </c>
      <c r="L1" s="2" t="s">
        <v>61</v>
      </c>
      <c r="M1" s="2" t="s">
        <v>58</v>
      </c>
      <c r="N1" s="2" t="s">
        <v>59</v>
      </c>
      <c r="O1" s="2" t="s">
        <v>62</v>
      </c>
      <c r="P1" s="2" t="s">
        <v>59</v>
      </c>
    </row>
    <row r="2" customFormat="false" ht="15" hidden="false" customHeight="true" outlineLevel="0" collapsed="false">
      <c r="A2" s="3" t="s">
        <v>31</v>
      </c>
      <c r="B2" s="4" t="s">
        <v>7</v>
      </c>
      <c r="C2" s="4" t="s">
        <v>11</v>
      </c>
      <c r="D2" s="4" t="s">
        <v>15</v>
      </c>
      <c r="E2" s="3" t="n">
        <f aca="false">AVERAGE(INDEX(Resources!$B$2:$F$10,MATCH($B2,Resources!$A$2:$A$10,0),1),INDEX(Resources!$B$2:$F$10,MATCH($C2,Resources!$A$2:$A$10,0),1),INDEX(Resources!$B$2:$F$10,MATCH($D2,Resources!$A$2:$A$10,0),1))</f>
        <v>513.333333333333</v>
      </c>
      <c r="F2" s="3" t="s">
        <v>32</v>
      </c>
      <c r="G2" s="6" t="n">
        <f aca="false">(Weights!$C$2*IF(Weights!$D$2=0,$E2,INDEX(Resources!$B$2:$F$10,MATCH(CHOOSE(Weights!$D$2,$B2,$C2,$D2),Resources!$A$2:$A$10,0),MATCH(Weights!$E$2,Resources!$B$1:$F$1,0)))+Weights!$F$2*IF(Weights!$G$2=0,$E2,INDEX(Resources!$B$2:$F$10,MATCH(CHOOSE(Weights!$G$2,$B2,$C2,$D2),Resources!$A$2:$A$10,0),MATCH(Weights!$H$2,Resources!$B$1:$F$1,0)))+Weights!$I$2*IF(Weights!$J$2=0,$E2,INDEX(Resources!$B$2:$F$10,MATCH(CHOOSE(Weights!$J$2,$B2,$C2,$D2),Resources!$A$2:$A$10,0),MATCH(Weights!$K$2,Resources!$B$1:$F$1,0))))/10</f>
        <v>61.0666666666667</v>
      </c>
      <c r="H2" s="3" t="str">
        <f aca="false">IF(G2&lt;40,"Poor",IF(G2&lt;55,"Basic",IF(G2&lt;70,"Solid",IF(G2&lt;85,"Strong",IF(G2&lt;95,"Excellent","Exceptional")))))</f>
        <v>Solid</v>
      </c>
      <c r="I2" s="3" t="s">
        <v>33</v>
      </c>
      <c r="J2" s="6" t="n">
        <f aca="false">(Weights!$C$3*IF(Weights!$D$3=0,$E2,INDEX(Resources!$B$2:$F$10,MATCH(CHOOSE(Weights!$D$3,$B2,$C2,$D2),Resources!$A$2:$A$10,0),MATCH(Weights!$E$3,Resources!$B$1:$F$1,0)))+Weights!$F$3*IF(Weights!$G$3=0,$E2,INDEX(Resources!$B$2:$F$10,MATCH(CHOOSE(Weights!$G$3,$B2,$C2,$D2),Resources!$A$2:$A$10,0),MATCH(Weights!$H$3,Resources!$B$1:$F$1,0)))+Weights!$I$3*IF(Weights!$J$3=0,$E2,INDEX(Resources!$B$2:$F$10,MATCH(CHOOSE(Weights!$J$3,$B2,$C2,$D2),Resources!$A$2:$A$10,0),MATCH(Weights!$K$3,Resources!$B$1:$F$1,0))))/10</f>
        <v>69.1666666666667</v>
      </c>
      <c r="K2" s="3" t="str">
        <f aca="false">IF(J2&lt;40,"Poor",IF(J2&lt;55,"Basic",IF(J2&lt;70,"Solid",IF(J2&lt;85,"Strong",IF(J2&lt;95,"Excellent","Exceptional")))))</f>
        <v>Solid</v>
      </c>
      <c r="L2" s="3" t="s">
        <v>34</v>
      </c>
      <c r="M2" s="6" t="n">
        <f aca="false">(Weights!$C$4*IF(Weights!$D$4=0,$E2,INDEX(Resources!$B$2:$F$10,MATCH(CHOOSE(Weights!$D$4,$B2,$C2,$D2),Resources!$A$2:$A$10,0),MATCH(Weights!$E$4,Resources!$B$1:$F$1,0)))+Weights!$F$4*IF(Weights!$G$4=0,$E2,INDEX(Resources!$B$2:$F$10,MATCH(CHOOSE(Weights!$G$4,$B2,$C2,$D2),Resources!$A$2:$A$10,0),MATCH(Weights!$H$4,Resources!$B$1:$F$1,0)))+Weights!$I$4*IF(Weights!$J$4=0,$E2,INDEX(Resources!$B$2:$F$10,MATCH(CHOOSE(Weights!$J$4,$B2,$C2,$D2),Resources!$A$2:$A$10,0),MATCH(Weights!$K$4,Resources!$B$1:$F$1,0))))/10</f>
        <v>69.4666666666667</v>
      </c>
      <c r="N2" s="3" t="str">
        <f aca="false">IF(M2&lt;40,"Poor",IF(M2&lt;55,"Basic",IF(M2&lt;70,"Solid",IF(M2&lt;85,"Strong",IF(M2&lt;95,"Excellent","Exceptional")))))</f>
        <v>Solid</v>
      </c>
      <c r="O2" s="6" t="n">
        <f aca="false">MIN(100,MAX(G2,J2,M2)*(1+0.05*3))</f>
        <v>79.8866666666667</v>
      </c>
      <c r="P2" s="3" t="str">
        <f aca="false">IF(O2&lt;40,"Poor",IF(O2&lt;55,"Basic",IF(O2&lt;70,"Solid",IF(O2&lt;85,"Strong",IF(O2&lt;95,"Excellent","Exceptional")))))</f>
        <v>Strong</v>
      </c>
    </row>
    <row r="3" customFormat="false" ht="15" hidden="false" customHeight="true" outlineLevel="0" collapsed="false">
      <c r="A3" s="3" t="s">
        <v>31</v>
      </c>
      <c r="B3" s="4" t="s">
        <v>7</v>
      </c>
      <c r="C3" s="4" t="s">
        <v>11</v>
      </c>
      <c r="D3" s="4" t="s">
        <v>17</v>
      </c>
      <c r="E3" s="3" t="n">
        <f aca="false">AVERAGE(INDEX(Resources!$B$2:$F$10,MATCH($B3,Resources!$A$2:$A$10,0),1),INDEX(Resources!$B$2:$F$10,MATCH($C3,Resources!$A$2:$A$10,0),1),INDEX(Resources!$B$2:$F$10,MATCH($D3,Resources!$A$2:$A$10,0),1))</f>
        <v>483.333333333333</v>
      </c>
      <c r="F3" s="3" t="s">
        <v>32</v>
      </c>
      <c r="G3" s="6" t="n">
        <f aca="false">(Weights!$C$2*IF(Weights!$D$2=0,$E3,INDEX(Resources!$B$2:$F$10,MATCH(CHOOSE(Weights!$D$2,$B3,$C3,$D3),Resources!$A$2:$A$10,0),MATCH(Weights!$E$2,Resources!$B$1:$F$1,0)))+Weights!$F$2*IF(Weights!$G$2=0,$E3,INDEX(Resources!$B$2:$F$10,MATCH(CHOOSE(Weights!$G$2,$B3,$C3,$D3),Resources!$A$2:$A$10,0),MATCH(Weights!$H$2,Resources!$B$1:$F$1,0)))+Weights!$I$2*IF(Weights!$J$2=0,$E3,INDEX(Resources!$B$2:$F$10,MATCH(CHOOSE(Weights!$J$2,$B3,$C3,$D3),Resources!$A$2:$A$10,0),MATCH(Weights!$K$2,Resources!$B$1:$F$1,0))))/10</f>
        <v>60.4666666666667</v>
      </c>
      <c r="H3" s="3" t="str">
        <f aca="false">IF(G3&lt;40,"Poor",IF(G3&lt;55,"Basic",IF(G3&lt;70,"Solid",IF(G3&lt;85,"Strong",IF(G3&lt;95,"Excellent","Exceptional")))))</f>
        <v>Solid</v>
      </c>
      <c r="I3" s="3" t="s">
        <v>33</v>
      </c>
      <c r="J3" s="6" t="n">
        <f aca="false">(Weights!$C$3*IF(Weights!$D$3=0,$E3,INDEX(Resources!$B$2:$F$10,MATCH(CHOOSE(Weights!$D$3,$B3,$C3,$D3),Resources!$A$2:$A$10,0),MATCH(Weights!$E$3,Resources!$B$1:$F$1,0)))+Weights!$F$3*IF(Weights!$G$3=0,$E3,INDEX(Resources!$B$2:$F$10,MATCH(CHOOSE(Weights!$G$3,$B3,$C3,$D3),Resources!$A$2:$A$10,0),MATCH(Weights!$H$3,Resources!$B$1:$F$1,0)))+Weights!$I$3*IF(Weights!$J$3=0,$E3,INDEX(Resources!$B$2:$F$10,MATCH(CHOOSE(Weights!$J$3,$B3,$C3,$D3),Resources!$A$2:$A$10,0),MATCH(Weights!$K$3,Resources!$B$1:$F$1,0))))/10</f>
        <v>48.4666666666667</v>
      </c>
      <c r="K3" s="3" t="str">
        <f aca="false">IF(J3&lt;40,"Poor",IF(J3&lt;55,"Basic",IF(J3&lt;70,"Solid",IF(J3&lt;85,"Strong",IF(J3&lt;95,"Excellent","Exceptional")))))</f>
        <v>Basic</v>
      </c>
      <c r="L3" s="3" t="s">
        <v>34</v>
      </c>
      <c r="M3" s="6" t="n">
        <f aca="false">(Weights!$C$4*IF(Weights!$D$4=0,$E3,INDEX(Resources!$B$2:$F$10,MATCH(CHOOSE(Weights!$D$4,$B3,$C3,$D3),Resources!$A$2:$A$10,0),MATCH(Weights!$E$4,Resources!$B$1:$F$1,0)))+Weights!$F$4*IF(Weights!$G$4=0,$E3,INDEX(Resources!$B$2:$F$10,MATCH(CHOOSE(Weights!$G$4,$B3,$C3,$D3),Resources!$A$2:$A$10,0),MATCH(Weights!$H$4,Resources!$B$1:$F$1,0)))+Weights!$I$4*IF(Weights!$J$4=0,$E3,INDEX(Resources!$B$2:$F$10,MATCH(CHOOSE(Weights!$J$4,$B3,$C3,$D3),Resources!$A$2:$A$10,0),MATCH(Weights!$K$4,Resources!$B$1:$F$1,0))))/10</f>
        <v>38.7166666666667</v>
      </c>
      <c r="N3" s="3" t="str">
        <f aca="false">IF(M3&lt;40,"Poor",IF(M3&lt;55,"Basic",IF(M3&lt;70,"Solid",IF(M3&lt;85,"Strong",IF(M3&lt;95,"Excellent","Exceptional")))))</f>
        <v>Poor</v>
      </c>
      <c r="O3" s="6" t="n">
        <f aca="false">MIN(100,MAX(G3,J3,M3)*(1+0.05*3))</f>
        <v>69.5366666666667</v>
      </c>
      <c r="P3" s="3" t="str">
        <f aca="false">IF(O3&lt;40,"Poor",IF(O3&lt;55,"Basic",IF(O3&lt;70,"Solid",IF(O3&lt;85,"Strong",IF(O3&lt;95,"Excellent","Exceptional")))))</f>
        <v>Solid</v>
      </c>
    </row>
    <row r="4" customFormat="false" ht="15" hidden="false" customHeight="true" outlineLevel="0" collapsed="false">
      <c r="A4" s="3" t="s">
        <v>31</v>
      </c>
      <c r="B4" s="4" t="s">
        <v>7</v>
      </c>
      <c r="C4" s="4" t="s">
        <v>11</v>
      </c>
      <c r="D4" s="4" t="s">
        <v>18</v>
      </c>
      <c r="E4" s="3" t="n">
        <f aca="false">AVERAGE(INDEX(Resources!$B$2:$F$10,MATCH($B4,Resources!$A$2:$A$10,0),1),INDEX(Resources!$B$2:$F$10,MATCH($C4,Resources!$A$2:$A$10,0),1),INDEX(Resources!$B$2:$F$10,MATCH($D4,Resources!$A$2:$A$10,0),1))</f>
        <v>553.333333333333</v>
      </c>
      <c r="F4" s="3" t="s">
        <v>32</v>
      </c>
      <c r="G4" s="6" t="n">
        <f aca="false">(Weights!$C$2*IF(Weights!$D$2=0,$E4,INDEX(Resources!$B$2:$F$10,MATCH(CHOOSE(Weights!$D$2,$B4,$C4,$D4),Resources!$A$2:$A$10,0),MATCH(Weights!$E$2,Resources!$B$1:$F$1,0)))+Weights!$F$2*IF(Weights!$G$2=0,$E4,INDEX(Resources!$B$2:$F$10,MATCH(CHOOSE(Weights!$G$2,$B4,$C4,$D4),Resources!$A$2:$A$10,0),MATCH(Weights!$H$2,Resources!$B$1:$F$1,0)))+Weights!$I$2*IF(Weights!$J$2=0,$E4,INDEX(Resources!$B$2:$F$10,MATCH(CHOOSE(Weights!$J$2,$B4,$C4,$D4),Resources!$A$2:$A$10,0),MATCH(Weights!$K$2,Resources!$B$1:$F$1,0))))/10</f>
        <v>61.8666666666667</v>
      </c>
      <c r="H4" s="3" t="str">
        <f aca="false">IF(G4&lt;40,"Poor",IF(G4&lt;55,"Basic",IF(G4&lt;70,"Solid",IF(G4&lt;85,"Strong",IF(G4&lt;95,"Excellent","Exceptional")))))</f>
        <v>Solid</v>
      </c>
      <c r="I4" s="3" t="s">
        <v>33</v>
      </c>
      <c r="J4" s="6" t="n">
        <f aca="false">(Weights!$C$3*IF(Weights!$D$3=0,$E4,INDEX(Resources!$B$2:$F$10,MATCH(CHOOSE(Weights!$D$3,$B4,$C4,$D4),Resources!$A$2:$A$10,0),MATCH(Weights!$E$3,Resources!$B$1:$F$1,0)))+Weights!$F$3*IF(Weights!$G$3=0,$E4,INDEX(Resources!$B$2:$F$10,MATCH(CHOOSE(Weights!$G$3,$B4,$C4,$D4),Resources!$A$2:$A$10,0),MATCH(Weights!$H$3,Resources!$B$1:$F$1,0)))+Weights!$I$3*IF(Weights!$J$3=0,$E4,INDEX(Resources!$B$2:$F$10,MATCH(CHOOSE(Weights!$J$3,$B4,$C4,$D4),Resources!$A$2:$A$10,0),MATCH(Weights!$K$3,Resources!$B$1:$F$1,0))))/10</f>
        <v>62.7666666666667</v>
      </c>
      <c r="K4" s="3" t="str">
        <f aca="false">IF(J4&lt;40,"Poor",IF(J4&lt;55,"Basic",IF(J4&lt;70,"Solid",IF(J4&lt;85,"Strong",IF(J4&lt;95,"Excellent","Exceptional")))))</f>
        <v>Solid</v>
      </c>
      <c r="L4" s="3" t="s">
        <v>34</v>
      </c>
      <c r="M4" s="6" t="n">
        <f aca="false">(Weights!$C$4*IF(Weights!$D$4=0,$E4,INDEX(Resources!$B$2:$F$10,MATCH(CHOOSE(Weights!$D$4,$B4,$C4,$D4),Resources!$A$2:$A$10,0),MATCH(Weights!$E$4,Resources!$B$1:$F$1,0)))+Weights!$F$4*IF(Weights!$G$4=0,$E4,INDEX(Resources!$B$2:$F$10,MATCH(CHOOSE(Weights!$G$4,$B4,$C4,$D4),Resources!$A$2:$A$10,0),MATCH(Weights!$H$4,Resources!$B$1:$F$1,0)))+Weights!$I$4*IF(Weights!$J$4=0,$E4,INDEX(Resources!$B$2:$F$10,MATCH(CHOOSE(Weights!$J$4,$B4,$C4,$D4),Resources!$A$2:$A$10,0),MATCH(Weights!$K$4,Resources!$B$1:$F$1,0))))/10</f>
        <v>59.4666666666667</v>
      </c>
      <c r="N4" s="3" t="str">
        <f aca="false">IF(M4&lt;40,"Poor",IF(M4&lt;55,"Basic",IF(M4&lt;70,"Solid",IF(M4&lt;85,"Strong",IF(M4&lt;95,"Excellent","Exceptional")))))</f>
        <v>Solid</v>
      </c>
      <c r="O4" s="6" t="n">
        <f aca="false">MIN(100,MAX(G4,J4,M4)*(1+0.05*3))</f>
        <v>72.1816666666667</v>
      </c>
      <c r="P4" s="3" t="str">
        <f aca="false">IF(O4&lt;40,"Poor",IF(O4&lt;55,"Basic",IF(O4&lt;70,"Solid",IF(O4&lt;85,"Strong",IF(O4&lt;95,"Excellent","Exceptional")))))</f>
        <v>Strong</v>
      </c>
    </row>
    <row r="5" customFormat="false" ht="15" hidden="false" customHeight="true" outlineLevel="0" collapsed="false">
      <c r="A5" s="3" t="s">
        <v>31</v>
      </c>
      <c r="B5" s="4" t="s">
        <v>7</v>
      </c>
      <c r="C5" s="4" t="s">
        <v>13</v>
      </c>
      <c r="D5" s="4" t="s">
        <v>15</v>
      </c>
      <c r="E5" s="3" t="n">
        <f aca="false">AVERAGE(INDEX(Resources!$B$2:$F$10,MATCH($B5,Resources!$A$2:$A$10,0),1),INDEX(Resources!$B$2:$F$10,MATCH($C5,Resources!$A$2:$A$10,0),1),INDEX(Resources!$B$2:$F$10,MATCH($D5,Resources!$A$2:$A$10,0),1))</f>
        <v>673.333333333333</v>
      </c>
      <c r="F5" s="3" t="s">
        <v>32</v>
      </c>
      <c r="G5" s="6" t="n">
        <f aca="false">(Weights!$C$2*IF(Weights!$D$2=0,$E5,INDEX(Resources!$B$2:$F$10,MATCH(CHOOSE(Weights!$D$2,$B5,$C5,$D5),Resources!$A$2:$A$10,0),MATCH(Weights!$E$2,Resources!$B$1:$F$1,0)))+Weights!$F$2*IF(Weights!$G$2=0,$E5,INDEX(Resources!$B$2:$F$10,MATCH(CHOOSE(Weights!$G$2,$B5,$C5,$D5),Resources!$A$2:$A$10,0),MATCH(Weights!$H$2,Resources!$B$1:$F$1,0)))+Weights!$I$2*IF(Weights!$J$2=0,$E5,INDEX(Resources!$B$2:$F$10,MATCH(CHOOSE(Weights!$J$2,$B5,$C5,$D5),Resources!$A$2:$A$10,0),MATCH(Weights!$K$2,Resources!$B$1:$F$1,0))))/10</f>
        <v>73.8666666666667</v>
      </c>
      <c r="H5" s="3" t="str">
        <f aca="false">IF(G5&lt;40,"Poor",IF(G5&lt;55,"Basic",IF(G5&lt;70,"Solid",IF(G5&lt;85,"Strong",IF(G5&lt;95,"Excellent","Exceptional")))))</f>
        <v>Strong</v>
      </c>
      <c r="I5" s="3" t="s">
        <v>33</v>
      </c>
      <c r="J5" s="6" t="n">
        <f aca="false">(Weights!$C$3*IF(Weights!$D$3=0,$E5,INDEX(Resources!$B$2:$F$10,MATCH(CHOOSE(Weights!$D$3,$B5,$C5,$D5),Resources!$A$2:$A$10,0),MATCH(Weights!$E$3,Resources!$B$1:$F$1,0)))+Weights!$F$3*IF(Weights!$G$3=0,$E5,INDEX(Resources!$B$2:$F$10,MATCH(CHOOSE(Weights!$G$3,$B5,$C5,$D5),Resources!$A$2:$A$10,0),MATCH(Weights!$H$3,Resources!$B$1:$F$1,0)))+Weights!$I$3*IF(Weights!$J$3=0,$E5,INDEX(Resources!$B$2:$F$10,MATCH(CHOOSE(Weights!$J$3,$B5,$C5,$D5),Resources!$A$2:$A$10,0),MATCH(Weights!$K$3,Resources!$B$1:$F$1,0))))/10</f>
        <v>72.3666666666667</v>
      </c>
      <c r="K5" s="3" t="str">
        <f aca="false">IF(J5&lt;40,"Poor",IF(J5&lt;55,"Basic",IF(J5&lt;70,"Solid",IF(J5&lt;85,"Strong",IF(J5&lt;95,"Excellent","Exceptional")))))</f>
        <v>Strong</v>
      </c>
      <c r="L5" s="3" t="s">
        <v>34</v>
      </c>
      <c r="M5" s="6" t="n">
        <f aca="false">(Weights!$C$4*IF(Weights!$D$4=0,$E5,INDEX(Resources!$B$2:$F$10,MATCH(CHOOSE(Weights!$D$4,$B5,$C5,$D5),Resources!$A$2:$A$10,0),MATCH(Weights!$E$4,Resources!$B$1:$F$1,0)))+Weights!$F$4*IF(Weights!$G$4=0,$E5,INDEX(Resources!$B$2:$F$10,MATCH(CHOOSE(Weights!$G$4,$B5,$C5,$D5),Resources!$A$2:$A$10,0),MATCH(Weights!$H$4,Resources!$B$1:$F$1,0)))+Weights!$I$4*IF(Weights!$J$4=0,$E5,INDEX(Resources!$B$2:$F$10,MATCH(CHOOSE(Weights!$J$4,$B5,$C5,$D5),Resources!$A$2:$A$10,0),MATCH(Weights!$K$4,Resources!$B$1:$F$1,0))))/10</f>
        <v>72.6666666666667</v>
      </c>
      <c r="N5" s="3" t="str">
        <f aca="false">IF(M5&lt;40,"Poor",IF(M5&lt;55,"Basic",IF(M5&lt;70,"Solid",IF(M5&lt;85,"Strong",IF(M5&lt;95,"Excellent","Exceptional")))))</f>
        <v>Strong</v>
      </c>
      <c r="O5" s="6" t="n">
        <f aca="false">MIN(100,MAX(G5,J5,M5)*(1+0.05*3))</f>
        <v>84.9466666666667</v>
      </c>
      <c r="P5" s="3" t="str">
        <f aca="false">IF(O5&lt;40,"Poor",IF(O5&lt;55,"Basic",IF(O5&lt;70,"Solid",IF(O5&lt;85,"Strong",IF(O5&lt;95,"Excellent","Exceptional")))))</f>
        <v>Strong</v>
      </c>
    </row>
    <row r="6" customFormat="false" ht="15" hidden="false" customHeight="true" outlineLevel="0" collapsed="false">
      <c r="A6" s="3" t="s">
        <v>31</v>
      </c>
      <c r="B6" s="4" t="s">
        <v>7</v>
      </c>
      <c r="C6" s="4" t="s">
        <v>13</v>
      </c>
      <c r="D6" s="4" t="s">
        <v>17</v>
      </c>
      <c r="E6" s="3" t="n">
        <f aca="false">AVERAGE(INDEX(Resources!$B$2:$F$10,MATCH($B6,Resources!$A$2:$A$10,0),1),INDEX(Resources!$B$2:$F$10,MATCH($C6,Resources!$A$2:$A$10,0),1),INDEX(Resources!$B$2:$F$10,MATCH($D6,Resources!$A$2:$A$10,0),1))</f>
        <v>643.333333333333</v>
      </c>
      <c r="F6" s="3" t="s">
        <v>32</v>
      </c>
      <c r="G6" s="6" t="n">
        <f aca="false">(Weights!$C$2*IF(Weights!$D$2=0,$E6,INDEX(Resources!$B$2:$F$10,MATCH(CHOOSE(Weights!$D$2,$B6,$C6,$D6),Resources!$A$2:$A$10,0),MATCH(Weights!$E$2,Resources!$B$1:$F$1,0)))+Weights!$F$2*IF(Weights!$G$2=0,$E6,INDEX(Resources!$B$2:$F$10,MATCH(CHOOSE(Weights!$G$2,$B6,$C6,$D6),Resources!$A$2:$A$10,0),MATCH(Weights!$H$2,Resources!$B$1:$F$1,0)))+Weights!$I$2*IF(Weights!$J$2=0,$E6,INDEX(Resources!$B$2:$F$10,MATCH(CHOOSE(Weights!$J$2,$B6,$C6,$D6),Resources!$A$2:$A$10,0),MATCH(Weights!$K$2,Resources!$B$1:$F$1,0))))/10</f>
        <v>73.2666666666667</v>
      </c>
      <c r="H6" s="3" t="str">
        <f aca="false">IF(G6&lt;40,"Poor",IF(G6&lt;55,"Basic",IF(G6&lt;70,"Solid",IF(G6&lt;85,"Strong",IF(G6&lt;95,"Excellent","Exceptional")))))</f>
        <v>Strong</v>
      </c>
      <c r="I6" s="3" t="s">
        <v>33</v>
      </c>
      <c r="J6" s="6" t="n">
        <f aca="false">(Weights!$C$3*IF(Weights!$D$3=0,$E6,INDEX(Resources!$B$2:$F$10,MATCH(CHOOSE(Weights!$D$3,$B6,$C6,$D6),Resources!$A$2:$A$10,0),MATCH(Weights!$E$3,Resources!$B$1:$F$1,0)))+Weights!$F$3*IF(Weights!$G$3=0,$E6,INDEX(Resources!$B$2:$F$10,MATCH(CHOOSE(Weights!$G$3,$B6,$C6,$D6),Resources!$A$2:$A$10,0),MATCH(Weights!$H$3,Resources!$B$1:$F$1,0)))+Weights!$I$3*IF(Weights!$J$3=0,$E6,INDEX(Resources!$B$2:$F$10,MATCH(CHOOSE(Weights!$J$3,$B6,$C6,$D6),Resources!$A$2:$A$10,0),MATCH(Weights!$K$3,Resources!$B$1:$F$1,0))))/10</f>
        <v>51.6666666666667</v>
      </c>
      <c r="K6" s="3" t="str">
        <f aca="false">IF(J6&lt;40,"Poor",IF(J6&lt;55,"Basic",IF(J6&lt;70,"Solid",IF(J6&lt;85,"Strong",IF(J6&lt;95,"Excellent","Exceptional")))))</f>
        <v>Basic</v>
      </c>
      <c r="L6" s="3" t="s">
        <v>34</v>
      </c>
      <c r="M6" s="6" t="n">
        <f aca="false">(Weights!$C$4*IF(Weights!$D$4=0,$E6,INDEX(Resources!$B$2:$F$10,MATCH(CHOOSE(Weights!$D$4,$B6,$C6,$D6),Resources!$A$2:$A$10,0),MATCH(Weights!$E$4,Resources!$B$1:$F$1,0)))+Weights!$F$4*IF(Weights!$G$4=0,$E6,INDEX(Resources!$B$2:$F$10,MATCH(CHOOSE(Weights!$G$4,$B6,$C6,$D6),Resources!$A$2:$A$10,0),MATCH(Weights!$H$4,Resources!$B$1:$F$1,0)))+Weights!$I$4*IF(Weights!$J$4=0,$E6,INDEX(Resources!$B$2:$F$10,MATCH(CHOOSE(Weights!$J$4,$B6,$C6,$D6),Resources!$A$2:$A$10,0),MATCH(Weights!$K$4,Resources!$B$1:$F$1,0))))/10</f>
        <v>41.9166666666667</v>
      </c>
      <c r="N6" s="3" t="str">
        <f aca="false">IF(M6&lt;40,"Poor",IF(M6&lt;55,"Basic",IF(M6&lt;70,"Solid",IF(M6&lt;85,"Strong",IF(M6&lt;95,"Excellent","Exceptional")))))</f>
        <v>Basic</v>
      </c>
      <c r="O6" s="6" t="n">
        <f aca="false">MIN(100,MAX(G6,J6,M6)*(1+0.05*3))</f>
        <v>84.2566666666667</v>
      </c>
      <c r="P6" s="3" t="str">
        <f aca="false">IF(O6&lt;40,"Poor",IF(O6&lt;55,"Basic",IF(O6&lt;70,"Solid",IF(O6&lt;85,"Strong",IF(O6&lt;95,"Excellent","Exceptional")))))</f>
        <v>Strong</v>
      </c>
    </row>
    <row r="7" customFormat="false" ht="15" hidden="false" customHeight="true" outlineLevel="0" collapsed="false">
      <c r="A7" s="3" t="s">
        <v>31</v>
      </c>
      <c r="B7" s="4" t="s">
        <v>7</v>
      </c>
      <c r="C7" s="4" t="s">
        <v>13</v>
      </c>
      <c r="D7" s="4" t="s">
        <v>18</v>
      </c>
      <c r="E7" s="3" t="n">
        <f aca="false">AVERAGE(INDEX(Resources!$B$2:$F$10,MATCH($B7,Resources!$A$2:$A$10,0),1),INDEX(Resources!$B$2:$F$10,MATCH($C7,Resources!$A$2:$A$10,0),1),INDEX(Resources!$B$2:$F$10,MATCH($D7,Resources!$A$2:$A$10,0),1))</f>
        <v>713.333333333333</v>
      </c>
      <c r="F7" s="3" t="s">
        <v>32</v>
      </c>
      <c r="G7" s="6" t="n">
        <f aca="false">(Weights!$C$2*IF(Weights!$D$2=0,$E7,INDEX(Resources!$B$2:$F$10,MATCH(CHOOSE(Weights!$D$2,$B7,$C7,$D7),Resources!$A$2:$A$10,0),MATCH(Weights!$E$2,Resources!$B$1:$F$1,0)))+Weights!$F$2*IF(Weights!$G$2=0,$E7,INDEX(Resources!$B$2:$F$10,MATCH(CHOOSE(Weights!$G$2,$B7,$C7,$D7),Resources!$A$2:$A$10,0),MATCH(Weights!$H$2,Resources!$B$1:$F$1,0)))+Weights!$I$2*IF(Weights!$J$2=0,$E7,INDEX(Resources!$B$2:$F$10,MATCH(CHOOSE(Weights!$J$2,$B7,$C7,$D7),Resources!$A$2:$A$10,0),MATCH(Weights!$K$2,Resources!$B$1:$F$1,0))))/10</f>
        <v>74.6666666666667</v>
      </c>
      <c r="H7" s="3" t="str">
        <f aca="false">IF(G7&lt;40,"Poor",IF(G7&lt;55,"Basic",IF(G7&lt;70,"Solid",IF(G7&lt;85,"Strong",IF(G7&lt;95,"Excellent","Exceptional")))))</f>
        <v>Strong</v>
      </c>
      <c r="I7" s="3" t="s">
        <v>33</v>
      </c>
      <c r="J7" s="6" t="n">
        <f aca="false">(Weights!$C$3*IF(Weights!$D$3=0,$E7,INDEX(Resources!$B$2:$F$10,MATCH(CHOOSE(Weights!$D$3,$B7,$C7,$D7),Resources!$A$2:$A$10,0),MATCH(Weights!$E$3,Resources!$B$1:$F$1,0)))+Weights!$F$3*IF(Weights!$G$3=0,$E7,INDEX(Resources!$B$2:$F$10,MATCH(CHOOSE(Weights!$G$3,$B7,$C7,$D7),Resources!$A$2:$A$10,0),MATCH(Weights!$H$3,Resources!$B$1:$F$1,0)))+Weights!$I$3*IF(Weights!$J$3=0,$E7,INDEX(Resources!$B$2:$F$10,MATCH(CHOOSE(Weights!$J$3,$B7,$C7,$D7),Resources!$A$2:$A$10,0),MATCH(Weights!$K$3,Resources!$B$1:$F$1,0))))/10</f>
        <v>65.9666666666667</v>
      </c>
      <c r="K7" s="3" t="str">
        <f aca="false">IF(J7&lt;40,"Poor",IF(J7&lt;55,"Basic",IF(J7&lt;70,"Solid",IF(J7&lt;85,"Strong",IF(J7&lt;95,"Excellent","Exceptional")))))</f>
        <v>Solid</v>
      </c>
      <c r="L7" s="3" t="s">
        <v>34</v>
      </c>
      <c r="M7" s="6" t="n">
        <f aca="false">(Weights!$C$4*IF(Weights!$D$4=0,$E7,INDEX(Resources!$B$2:$F$10,MATCH(CHOOSE(Weights!$D$4,$B7,$C7,$D7),Resources!$A$2:$A$10,0),MATCH(Weights!$E$4,Resources!$B$1:$F$1,0)))+Weights!$F$4*IF(Weights!$G$4=0,$E7,INDEX(Resources!$B$2:$F$10,MATCH(CHOOSE(Weights!$G$4,$B7,$C7,$D7),Resources!$A$2:$A$10,0),MATCH(Weights!$H$4,Resources!$B$1:$F$1,0)))+Weights!$I$4*IF(Weights!$J$4=0,$E7,INDEX(Resources!$B$2:$F$10,MATCH(CHOOSE(Weights!$J$4,$B7,$C7,$D7),Resources!$A$2:$A$10,0),MATCH(Weights!$K$4,Resources!$B$1:$F$1,0))))/10</f>
        <v>62.6666666666667</v>
      </c>
      <c r="N7" s="3" t="str">
        <f aca="false">IF(M7&lt;40,"Poor",IF(M7&lt;55,"Basic",IF(M7&lt;70,"Solid",IF(M7&lt;85,"Strong",IF(M7&lt;95,"Excellent","Exceptional")))))</f>
        <v>Solid</v>
      </c>
      <c r="O7" s="6" t="n">
        <f aca="false">MIN(100,MAX(G7,J7,M7)*(1+0.05*3))</f>
        <v>85.8666666666667</v>
      </c>
      <c r="P7" s="3" t="str">
        <f aca="false">IF(O7&lt;40,"Poor",IF(O7&lt;55,"Basic",IF(O7&lt;70,"Solid",IF(O7&lt;85,"Strong",IF(O7&lt;95,"Excellent","Exceptional")))))</f>
        <v>Excellent</v>
      </c>
    </row>
    <row r="8" customFormat="false" ht="15" hidden="false" customHeight="true" outlineLevel="0" collapsed="false">
      <c r="A8" s="3" t="s">
        <v>31</v>
      </c>
      <c r="B8" s="4" t="s">
        <v>7</v>
      </c>
      <c r="C8" s="4" t="s">
        <v>14</v>
      </c>
      <c r="D8" s="4" t="s">
        <v>15</v>
      </c>
      <c r="E8" s="3" t="n">
        <f aca="false">AVERAGE(INDEX(Resources!$B$2:$F$10,MATCH($B8,Resources!$A$2:$A$10,0),1),INDEX(Resources!$B$2:$F$10,MATCH($C8,Resources!$A$2:$A$10,0),1),INDEX(Resources!$B$2:$F$10,MATCH($D8,Resources!$A$2:$A$10,0),1))</f>
        <v>586.666666666667</v>
      </c>
      <c r="F8" s="3" t="s">
        <v>32</v>
      </c>
      <c r="G8" s="6" t="n">
        <f aca="false">(Weights!$C$2*IF(Weights!$D$2=0,$E8,INDEX(Resources!$B$2:$F$10,MATCH(CHOOSE(Weights!$D$2,$B8,$C8,$D8),Resources!$A$2:$A$10,0),MATCH(Weights!$E$2,Resources!$B$1:$F$1,0)))+Weights!$F$2*IF(Weights!$G$2=0,$E8,INDEX(Resources!$B$2:$F$10,MATCH(CHOOSE(Weights!$G$2,$B8,$C8,$D8),Resources!$A$2:$A$10,0),MATCH(Weights!$H$2,Resources!$B$1:$F$1,0)))+Weights!$I$2*IF(Weights!$J$2=0,$E8,INDEX(Resources!$B$2:$F$10,MATCH(CHOOSE(Weights!$J$2,$B8,$C8,$D8),Resources!$A$2:$A$10,0),MATCH(Weights!$K$2,Resources!$B$1:$F$1,0))))/10</f>
        <v>63.4333333333333</v>
      </c>
      <c r="H8" s="3" t="str">
        <f aca="false">IF(G8&lt;40,"Poor",IF(G8&lt;55,"Basic",IF(G8&lt;70,"Solid",IF(G8&lt;85,"Strong",IF(G8&lt;95,"Excellent","Exceptional")))))</f>
        <v>Solid</v>
      </c>
      <c r="I8" s="3" t="s">
        <v>33</v>
      </c>
      <c r="J8" s="6" t="n">
        <f aca="false">(Weights!$C$3*IF(Weights!$D$3=0,$E8,INDEX(Resources!$B$2:$F$10,MATCH(CHOOSE(Weights!$D$3,$B8,$C8,$D8),Resources!$A$2:$A$10,0),MATCH(Weights!$E$3,Resources!$B$1:$F$1,0)))+Weights!$F$3*IF(Weights!$G$3=0,$E8,INDEX(Resources!$B$2:$F$10,MATCH(CHOOSE(Weights!$G$3,$B8,$C8,$D8),Resources!$A$2:$A$10,0),MATCH(Weights!$H$3,Resources!$B$1:$F$1,0)))+Weights!$I$3*IF(Weights!$J$3=0,$E8,INDEX(Resources!$B$2:$F$10,MATCH(CHOOSE(Weights!$J$3,$B8,$C8,$D8),Resources!$A$2:$A$10,0),MATCH(Weights!$K$3,Resources!$B$1:$F$1,0))))/10</f>
        <v>70.6333333333333</v>
      </c>
      <c r="K8" s="3" t="str">
        <f aca="false">IF(J8&lt;40,"Poor",IF(J8&lt;55,"Basic",IF(J8&lt;70,"Solid",IF(J8&lt;85,"Strong",IF(J8&lt;95,"Excellent","Exceptional")))))</f>
        <v>Strong</v>
      </c>
      <c r="L8" s="3" t="s">
        <v>34</v>
      </c>
      <c r="M8" s="6" t="n">
        <f aca="false">(Weights!$C$4*IF(Weights!$D$4=0,$E8,INDEX(Resources!$B$2:$F$10,MATCH(CHOOSE(Weights!$D$4,$B8,$C8,$D8),Resources!$A$2:$A$10,0),MATCH(Weights!$E$4,Resources!$B$1:$F$1,0)))+Weights!$F$4*IF(Weights!$G$4=0,$E8,INDEX(Resources!$B$2:$F$10,MATCH(CHOOSE(Weights!$G$4,$B8,$C8,$D8),Resources!$A$2:$A$10,0),MATCH(Weights!$H$4,Resources!$B$1:$F$1,0)))+Weights!$I$4*IF(Weights!$J$4=0,$E8,INDEX(Resources!$B$2:$F$10,MATCH(CHOOSE(Weights!$J$4,$B8,$C8,$D8),Resources!$A$2:$A$10,0),MATCH(Weights!$K$4,Resources!$B$1:$F$1,0))))/10</f>
        <v>70.9333333333333</v>
      </c>
      <c r="N8" s="3" t="str">
        <f aca="false">IF(M8&lt;40,"Poor",IF(M8&lt;55,"Basic",IF(M8&lt;70,"Solid",IF(M8&lt;85,"Strong",IF(M8&lt;95,"Excellent","Exceptional")))))</f>
        <v>Strong</v>
      </c>
      <c r="O8" s="6" t="n">
        <f aca="false">MIN(100,MAX(G8,J8,M8)*(1+0.05*3))</f>
        <v>81.5733333333333</v>
      </c>
      <c r="P8" s="3" t="str">
        <f aca="false">IF(O8&lt;40,"Poor",IF(O8&lt;55,"Basic",IF(O8&lt;70,"Solid",IF(O8&lt;85,"Strong",IF(O8&lt;95,"Excellent","Exceptional")))))</f>
        <v>Strong</v>
      </c>
    </row>
    <row r="9" customFormat="false" ht="15" hidden="false" customHeight="true" outlineLevel="0" collapsed="false">
      <c r="A9" s="3" t="s">
        <v>31</v>
      </c>
      <c r="B9" s="4" t="s">
        <v>7</v>
      </c>
      <c r="C9" s="4" t="s">
        <v>14</v>
      </c>
      <c r="D9" s="4" t="s">
        <v>17</v>
      </c>
      <c r="E9" s="3" t="n">
        <f aca="false">AVERAGE(INDEX(Resources!$B$2:$F$10,MATCH($B9,Resources!$A$2:$A$10,0),1),INDEX(Resources!$B$2:$F$10,MATCH($C9,Resources!$A$2:$A$10,0),1),INDEX(Resources!$B$2:$F$10,MATCH($D9,Resources!$A$2:$A$10,0),1))</f>
        <v>556.666666666667</v>
      </c>
      <c r="F9" s="3" t="s">
        <v>32</v>
      </c>
      <c r="G9" s="6" t="n">
        <f aca="false">(Weights!$C$2*IF(Weights!$D$2=0,$E9,INDEX(Resources!$B$2:$F$10,MATCH(CHOOSE(Weights!$D$2,$B9,$C9,$D9),Resources!$A$2:$A$10,0),MATCH(Weights!$E$2,Resources!$B$1:$F$1,0)))+Weights!$F$2*IF(Weights!$G$2=0,$E9,INDEX(Resources!$B$2:$F$10,MATCH(CHOOSE(Weights!$G$2,$B9,$C9,$D9),Resources!$A$2:$A$10,0),MATCH(Weights!$H$2,Resources!$B$1:$F$1,0)))+Weights!$I$2*IF(Weights!$J$2=0,$E9,INDEX(Resources!$B$2:$F$10,MATCH(CHOOSE(Weights!$J$2,$B9,$C9,$D9),Resources!$A$2:$A$10,0),MATCH(Weights!$K$2,Resources!$B$1:$F$1,0))))/10</f>
        <v>62.8333333333333</v>
      </c>
      <c r="H9" s="3" t="str">
        <f aca="false">IF(G9&lt;40,"Poor",IF(G9&lt;55,"Basic",IF(G9&lt;70,"Solid",IF(G9&lt;85,"Strong",IF(G9&lt;95,"Excellent","Exceptional")))))</f>
        <v>Solid</v>
      </c>
      <c r="I9" s="3" t="s">
        <v>33</v>
      </c>
      <c r="J9" s="6" t="n">
        <f aca="false">(Weights!$C$3*IF(Weights!$D$3=0,$E9,INDEX(Resources!$B$2:$F$10,MATCH(CHOOSE(Weights!$D$3,$B9,$C9,$D9),Resources!$A$2:$A$10,0),MATCH(Weights!$E$3,Resources!$B$1:$F$1,0)))+Weights!$F$3*IF(Weights!$G$3=0,$E9,INDEX(Resources!$B$2:$F$10,MATCH(CHOOSE(Weights!$G$3,$B9,$C9,$D9),Resources!$A$2:$A$10,0),MATCH(Weights!$H$3,Resources!$B$1:$F$1,0)))+Weights!$I$3*IF(Weights!$J$3=0,$E9,INDEX(Resources!$B$2:$F$10,MATCH(CHOOSE(Weights!$J$3,$B9,$C9,$D9),Resources!$A$2:$A$10,0),MATCH(Weights!$K$3,Resources!$B$1:$F$1,0))))/10</f>
        <v>49.9333333333333</v>
      </c>
      <c r="K9" s="3" t="str">
        <f aca="false">IF(J9&lt;40,"Poor",IF(J9&lt;55,"Basic",IF(J9&lt;70,"Solid",IF(J9&lt;85,"Strong",IF(J9&lt;95,"Excellent","Exceptional")))))</f>
        <v>Basic</v>
      </c>
      <c r="L9" s="3" t="s">
        <v>34</v>
      </c>
      <c r="M9" s="6" t="n">
        <f aca="false">(Weights!$C$4*IF(Weights!$D$4=0,$E9,INDEX(Resources!$B$2:$F$10,MATCH(CHOOSE(Weights!$D$4,$B9,$C9,$D9),Resources!$A$2:$A$10,0),MATCH(Weights!$E$4,Resources!$B$1:$F$1,0)))+Weights!$F$4*IF(Weights!$G$4=0,$E9,INDEX(Resources!$B$2:$F$10,MATCH(CHOOSE(Weights!$G$4,$B9,$C9,$D9),Resources!$A$2:$A$10,0),MATCH(Weights!$H$4,Resources!$B$1:$F$1,0)))+Weights!$I$4*IF(Weights!$J$4=0,$E9,INDEX(Resources!$B$2:$F$10,MATCH(CHOOSE(Weights!$J$4,$B9,$C9,$D9),Resources!$A$2:$A$10,0),MATCH(Weights!$K$4,Resources!$B$1:$F$1,0))))/10</f>
        <v>40.1833333333333</v>
      </c>
      <c r="N9" s="3" t="str">
        <f aca="false">IF(M9&lt;40,"Poor",IF(M9&lt;55,"Basic",IF(M9&lt;70,"Solid",IF(M9&lt;85,"Strong",IF(M9&lt;95,"Excellent","Exceptional")))))</f>
        <v>Basic</v>
      </c>
      <c r="O9" s="6" t="n">
        <f aca="false">MIN(100,MAX(G9,J9,M9)*(1+0.05*3))</f>
        <v>72.2583333333333</v>
      </c>
      <c r="P9" s="3" t="str">
        <f aca="false">IF(O9&lt;40,"Poor",IF(O9&lt;55,"Basic",IF(O9&lt;70,"Solid",IF(O9&lt;85,"Strong",IF(O9&lt;95,"Excellent","Exceptional")))))</f>
        <v>Strong</v>
      </c>
    </row>
    <row r="10" customFormat="false" ht="15" hidden="false" customHeight="true" outlineLevel="0" collapsed="false">
      <c r="A10" s="3" t="s">
        <v>31</v>
      </c>
      <c r="B10" s="4" t="s">
        <v>7</v>
      </c>
      <c r="C10" s="4" t="s">
        <v>14</v>
      </c>
      <c r="D10" s="4" t="s">
        <v>18</v>
      </c>
      <c r="E10" s="3" t="n">
        <f aca="false">AVERAGE(INDEX(Resources!$B$2:$F$10,MATCH($B10,Resources!$A$2:$A$10,0),1),INDEX(Resources!$B$2:$F$10,MATCH($C10,Resources!$A$2:$A$10,0),1),INDEX(Resources!$B$2:$F$10,MATCH($D10,Resources!$A$2:$A$10,0),1))</f>
        <v>626.666666666667</v>
      </c>
      <c r="F10" s="3" t="s">
        <v>32</v>
      </c>
      <c r="G10" s="6" t="n">
        <f aca="false">(Weights!$C$2*IF(Weights!$D$2=0,$E10,INDEX(Resources!$B$2:$F$10,MATCH(CHOOSE(Weights!$D$2,$B10,$C10,$D10),Resources!$A$2:$A$10,0),MATCH(Weights!$E$2,Resources!$B$1:$F$1,0)))+Weights!$F$2*IF(Weights!$G$2=0,$E10,INDEX(Resources!$B$2:$F$10,MATCH(CHOOSE(Weights!$G$2,$B10,$C10,$D10),Resources!$A$2:$A$10,0),MATCH(Weights!$H$2,Resources!$B$1:$F$1,0)))+Weights!$I$2*IF(Weights!$J$2=0,$E10,INDEX(Resources!$B$2:$F$10,MATCH(CHOOSE(Weights!$J$2,$B10,$C10,$D10),Resources!$A$2:$A$10,0),MATCH(Weights!$K$2,Resources!$B$1:$F$1,0))))/10</f>
        <v>64.2333333333333</v>
      </c>
      <c r="H10" s="3" t="str">
        <f aca="false">IF(G10&lt;40,"Poor",IF(G10&lt;55,"Basic",IF(G10&lt;70,"Solid",IF(G10&lt;85,"Strong",IF(G10&lt;95,"Excellent","Exceptional")))))</f>
        <v>Solid</v>
      </c>
      <c r="I10" s="3" t="s">
        <v>33</v>
      </c>
      <c r="J10" s="6" t="n">
        <f aca="false">(Weights!$C$3*IF(Weights!$D$3=0,$E10,INDEX(Resources!$B$2:$F$10,MATCH(CHOOSE(Weights!$D$3,$B10,$C10,$D10),Resources!$A$2:$A$10,0),MATCH(Weights!$E$3,Resources!$B$1:$F$1,0)))+Weights!$F$3*IF(Weights!$G$3=0,$E10,INDEX(Resources!$B$2:$F$10,MATCH(CHOOSE(Weights!$G$3,$B10,$C10,$D10),Resources!$A$2:$A$10,0),MATCH(Weights!$H$3,Resources!$B$1:$F$1,0)))+Weights!$I$3*IF(Weights!$J$3=0,$E10,INDEX(Resources!$B$2:$F$10,MATCH(CHOOSE(Weights!$J$3,$B10,$C10,$D10),Resources!$A$2:$A$10,0),MATCH(Weights!$K$3,Resources!$B$1:$F$1,0))))/10</f>
        <v>64.2333333333333</v>
      </c>
      <c r="K10" s="3" t="str">
        <f aca="false">IF(J10&lt;40,"Poor",IF(J10&lt;55,"Basic",IF(J10&lt;70,"Solid",IF(J10&lt;85,"Strong",IF(J10&lt;95,"Excellent","Exceptional")))))</f>
        <v>Solid</v>
      </c>
      <c r="L10" s="3" t="s">
        <v>34</v>
      </c>
      <c r="M10" s="6" t="n">
        <f aca="false">(Weights!$C$4*IF(Weights!$D$4=0,$E10,INDEX(Resources!$B$2:$F$10,MATCH(CHOOSE(Weights!$D$4,$B10,$C10,$D10),Resources!$A$2:$A$10,0),MATCH(Weights!$E$4,Resources!$B$1:$F$1,0)))+Weights!$F$4*IF(Weights!$G$4=0,$E10,INDEX(Resources!$B$2:$F$10,MATCH(CHOOSE(Weights!$G$4,$B10,$C10,$D10),Resources!$A$2:$A$10,0),MATCH(Weights!$H$4,Resources!$B$1:$F$1,0)))+Weights!$I$4*IF(Weights!$J$4=0,$E10,INDEX(Resources!$B$2:$F$10,MATCH(CHOOSE(Weights!$J$4,$B10,$C10,$D10),Resources!$A$2:$A$10,0),MATCH(Weights!$K$4,Resources!$B$1:$F$1,0))))/10</f>
        <v>60.9333333333333</v>
      </c>
      <c r="N10" s="3" t="str">
        <f aca="false">IF(M10&lt;40,"Poor",IF(M10&lt;55,"Basic",IF(M10&lt;70,"Solid",IF(M10&lt;85,"Strong",IF(M10&lt;95,"Excellent","Exceptional")))))</f>
        <v>Solid</v>
      </c>
      <c r="O10" s="6" t="n">
        <f aca="false">MIN(100,MAX(G10,J10,M10)*(1+0.05*3))</f>
        <v>73.8683333333333</v>
      </c>
      <c r="P10" s="3" t="str">
        <f aca="false">IF(O10&lt;40,"Poor",IF(O10&lt;55,"Basic",IF(O10&lt;70,"Solid",IF(O10&lt;85,"Strong",IF(O10&lt;95,"Excellent","Exceptional")))))</f>
        <v>Strong</v>
      </c>
    </row>
    <row r="11" customFormat="false" ht="15" hidden="false" customHeight="true" outlineLevel="0" collapsed="false">
      <c r="A11" s="3" t="s">
        <v>31</v>
      </c>
      <c r="B11" s="4" t="s">
        <v>9</v>
      </c>
      <c r="C11" s="4" t="s">
        <v>11</v>
      </c>
      <c r="D11" s="4" t="s">
        <v>15</v>
      </c>
      <c r="E11" s="3" t="n">
        <f aca="false">AVERAGE(INDEX(Resources!$B$2:$F$10,MATCH($B11,Resources!$A$2:$A$10,0),1),INDEX(Resources!$B$2:$F$10,MATCH($C11,Resources!$A$2:$A$10,0),1),INDEX(Resources!$B$2:$F$10,MATCH($D11,Resources!$A$2:$A$10,0),1))</f>
        <v>570</v>
      </c>
      <c r="F11" s="3" t="s">
        <v>32</v>
      </c>
      <c r="G11" s="6" t="n">
        <f aca="false">(Weights!$C$2*IF(Weights!$D$2=0,$E11,INDEX(Resources!$B$2:$F$10,MATCH(CHOOSE(Weights!$D$2,$B11,$C11,$D11),Resources!$A$2:$A$10,0),MATCH(Weights!$E$2,Resources!$B$1:$F$1,0)))+Weights!$F$2*IF(Weights!$G$2=0,$E11,INDEX(Resources!$B$2:$F$10,MATCH(CHOOSE(Weights!$G$2,$B11,$C11,$D11),Resources!$A$2:$A$10,0),MATCH(Weights!$H$2,Resources!$B$1:$F$1,0)))+Weights!$I$2*IF(Weights!$J$2=0,$E11,INDEX(Resources!$B$2:$F$10,MATCH(CHOOSE(Weights!$J$2,$B11,$C11,$D11),Resources!$A$2:$A$10,0),MATCH(Weights!$K$2,Resources!$B$1:$F$1,0))))/10</f>
        <v>72.2</v>
      </c>
      <c r="H11" s="3" t="str">
        <f aca="false">IF(G11&lt;40,"Poor",IF(G11&lt;55,"Basic",IF(G11&lt;70,"Solid",IF(G11&lt;85,"Strong",IF(G11&lt;95,"Excellent","Exceptional")))))</f>
        <v>Strong</v>
      </c>
      <c r="I11" s="3" t="s">
        <v>33</v>
      </c>
      <c r="J11" s="6" t="n">
        <f aca="false">(Weights!$C$3*IF(Weights!$D$3=0,$E11,INDEX(Resources!$B$2:$F$10,MATCH(CHOOSE(Weights!$D$3,$B11,$C11,$D11),Resources!$A$2:$A$10,0),MATCH(Weights!$E$3,Resources!$B$1:$F$1,0)))+Weights!$F$3*IF(Weights!$G$3=0,$E11,INDEX(Resources!$B$2:$F$10,MATCH(CHOOSE(Weights!$G$3,$B11,$C11,$D11),Resources!$A$2:$A$10,0),MATCH(Weights!$H$3,Resources!$B$1:$F$1,0)))+Weights!$I$3*IF(Weights!$J$3=0,$E11,INDEX(Resources!$B$2:$F$10,MATCH(CHOOSE(Weights!$J$3,$B11,$C11,$D11),Resources!$A$2:$A$10,0),MATCH(Weights!$K$3,Resources!$B$1:$F$1,0))))/10</f>
        <v>80.3</v>
      </c>
      <c r="K11" s="3" t="str">
        <f aca="false">IF(J11&lt;40,"Poor",IF(J11&lt;55,"Basic",IF(J11&lt;70,"Solid",IF(J11&lt;85,"Strong",IF(J11&lt;95,"Excellent","Exceptional")))))</f>
        <v>Strong</v>
      </c>
      <c r="L11" s="3" t="s">
        <v>34</v>
      </c>
      <c r="M11" s="6" t="n">
        <f aca="false">(Weights!$C$4*IF(Weights!$D$4=0,$E11,INDEX(Resources!$B$2:$F$10,MATCH(CHOOSE(Weights!$D$4,$B11,$C11,$D11),Resources!$A$2:$A$10,0),MATCH(Weights!$E$4,Resources!$B$1:$F$1,0)))+Weights!$F$4*IF(Weights!$G$4=0,$E11,INDEX(Resources!$B$2:$F$10,MATCH(CHOOSE(Weights!$G$4,$B11,$C11,$D11),Resources!$A$2:$A$10,0),MATCH(Weights!$H$4,Resources!$B$1:$F$1,0)))+Weights!$I$4*IF(Weights!$J$4=0,$E11,INDEX(Resources!$B$2:$F$10,MATCH(CHOOSE(Weights!$J$4,$B11,$C11,$D11),Resources!$A$2:$A$10,0),MATCH(Weights!$K$4,Resources!$B$1:$F$1,0))))/10</f>
        <v>77.6</v>
      </c>
      <c r="N11" s="3" t="str">
        <f aca="false">IF(M11&lt;40,"Poor",IF(M11&lt;55,"Basic",IF(M11&lt;70,"Solid",IF(M11&lt;85,"Strong",IF(M11&lt;95,"Excellent","Exceptional")))))</f>
        <v>Strong</v>
      </c>
      <c r="O11" s="6" t="n">
        <f aca="false">MIN(100,MAX(G11,J11,M11)*(1+0.05*3))</f>
        <v>92.345</v>
      </c>
      <c r="P11" s="3" t="str">
        <f aca="false">IF(O11&lt;40,"Poor",IF(O11&lt;55,"Basic",IF(O11&lt;70,"Solid",IF(O11&lt;85,"Strong",IF(O11&lt;95,"Excellent","Exceptional")))))</f>
        <v>Excellent</v>
      </c>
    </row>
    <row r="12" customFormat="false" ht="15" hidden="false" customHeight="true" outlineLevel="0" collapsed="false">
      <c r="A12" s="3" t="s">
        <v>31</v>
      </c>
      <c r="B12" s="4" t="s">
        <v>9</v>
      </c>
      <c r="C12" s="4" t="s">
        <v>11</v>
      </c>
      <c r="D12" s="4" t="s">
        <v>17</v>
      </c>
      <c r="E12" s="3" t="n">
        <f aca="false">AVERAGE(INDEX(Resources!$B$2:$F$10,MATCH($B12,Resources!$A$2:$A$10,0),1),INDEX(Resources!$B$2:$F$10,MATCH($C12,Resources!$A$2:$A$10,0),1),INDEX(Resources!$B$2:$F$10,MATCH($D12,Resources!$A$2:$A$10,0),1))</f>
        <v>540</v>
      </c>
      <c r="F12" s="3" t="s">
        <v>32</v>
      </c>
      <c r="G12" s="6" t="n">
        <f aca="false">(Weights!$C$2*IF(Weights!$D$2=0,$E12,INDEX(Resources!$B$2:$F$10,MATCH(CHOOSE(Weights!$D$2,$B12,$C12,$D12),Resources!$A$2:$A$10,0),MATCH(Weights!$E$2,Resources!$B$1:$F$1,0)))+Weights!$F$2*IF(Weights!$G$2=0,$E12,INDEX(Resources!$B$2:$F$10,MATCH(CHOOSE(Weights!$G$2,$B12,$C12,$D12),Resources!$A$2:$A$10,0),MATCH(Weights!$H$2,Resources!$B$1:$F$1,0)))+Weights!$I$2*IF(Weights!$J$2=0,$E12,INDEX(Resources!$B$2:$F$10,MATCH(CHOOSE(Weights!$J$2,$B12,$C12,$D12),Resources!$A$2:$A$10,0),MATCH(Weights!$K$2,Resources!$B$1:$F$1,0))))/10</f>
        <v>71.6</v>
      </c>
      <c r="H12" s="3" t="str">
        <f aca="false">IF(G12&lt;40,"Poor",IF(G12&lt;55,"Basic",IF(G12&lt;70,"Solid",IF(G12&lt;85,"Strong",IF(G12&lt;95,"Excellent","Exceptional")))))</f>
        <v>Strong</v>
      </c>
      <c r="I12" s="3" t="s">
        <v>33</v>
      </c>
      <c r="J12" s="6" t="n">
        <f aca="false">(Weights!$C$3*IF(Weights!$D$3=0,$E12,INDEX(Resources!$B$2:$F$10,MATCH(CHOOSE(Weights!$D$3,$B12,$C12,$D12),Resources!$A$2:$A$10,0),MATCH(Weights!$E$3,Resources!$B$1:$F$1,0)))+Weights!$F$3*IF(Weights!$G$3=0,$E12,INDEX(Resources!$B$2:$F$10,MATCH(CHOOSE(Weights!$G$3,$B12,$C12,$D12),Resources!$A$2:$A$10,0),MATCH(Weights!$H$3,Resources!$B$1:$F$1,0)))+Weights!$I$3*IF(Weights!$J$3=0,$E12,INDEX(Resources!$B$2:$F$10,MATCH(CHOOSE(Weights!$J$3,$B12,$C12,$D12),Resources!$A$2:$A$10,0),MATCH(Weights!$K$3,Resources!$B$1:$F$1,0))))/10</f>
        <v>59.6</v>
      </c>
      <c r="K12" s="3" t="str">
        <f aca="false">IF(J12&lt;40,"Poor",IF(J12&lt;55,"Basic",IF(J12&lt;70,"Solid",IF(J12&lt;85,"Strong",IF(J12&lt;95,"Excellent","Exceptional")))))</f>
        <v>Solid</v>
      </c>
      <c r="L12" s="3" t="s">
        <v>34</v>
      </c>
      <c r="M12" s="6" t="n">
        <f aca="false">(Weights!$C$4*IF(Weights!$D$4=0,$E12,INDEX(Resources!$B$2:$F$10,MATCH(CHOOSE(Weights!$D$4,$B12,$C12,$D12),Resources!$A$2:$A$10,0),MATCH(Weights!$E$4,Resources!$B$1:$F$1,0)))+Weights!$F$4*IF(Weights!$G$4=0,$E12,INDEX(Resources!$B$2:$F$10,MATCH(CHOOSE(Weights!$G$4,$B12,$C12,$D12),Resources!$A$2:$A$10,0),MATCH(Weights!$H$4,Resources!$B$1:$F$1,0)))+Weights!$I$4*IF(Weights!$J$4=0,$E12,INDEX(Resources!$B$2:$F$10,MATCH(CHOOSE(Weights!$J$4,$B12,$C12,$D12),Resources!$A$2:$A$10,0),MATCH(Weights!$K$4,Resources!$B$1:$F$1,0))))/10</f>
        <v>46.85</v>
      </c>
      <c r="N12" s="3" t="str">
        <f aca="false">IF(M12&lt;40,"Poor",IF(M12&lt;55,"Basic",IF(M12&lt;70,"Solid",IF(M12&lt;85,"Strong",IF(M12&lt;95,"Excellent","Exceptional")))))</f>
        <v>Basic</v>
      </c>
      <c r="O12" s="6" t="n">
        <f aca="false">MIN(100,MAX(G12,J12,M12)*(1+0.05*3))</f>
        <v>82.34</v>
      </c>
      <c r="P12" s="3" t="str">
        <f aca="false">IF(O12&lt;40,"Poor",IF(O12&lt;55,"Basic",IF(O12&lt;70,"Solid",IF(O12&lt;85,"Strong",IF(O12&lt;95,"Excellent","Exceptional")))))</f>
        <v>Strong</v>
      </c>
    </row>
    <row r="13" customFormat="false" ht="15" hidden="false" customHeight="true" outlineLevel="0" collapsed="false">
      <c r="A13" s="3" t="s">
        <v>31</v>
      </c>
      <c r="B13" s="4" t="s">
        <v>9</v>
      </c>
      <c r="C13" s="4" t="s">
        <v>11</v>
      </c>
      <c r="D13" s="4" t="s">
        <v>18</v>
      </c>
      <c r="E13" s="3" t="n">
        <f aca="false">AVERAGE(INDEX(Resources!$B$2:$F$10,MATCH($B13,Resources!$A$2:$A$10,0),1),INDEX(Resources!$B$2:$F$10,MATCH($C13,Resources!$A$2:$A$10,0),1),INDEX(Resources!$B$2:$F$10,MATCH($D13,Resources!$A$2:$A$10,0),1))</f>
        <v>610</v>
      </c>
      <c r="F13" s="3" t="s">
        <v>32</v>
      </c>
      <c r="G13" s="6" t="n">
        <f aca="false">(Weights!$C$2*IF(Weights!$D$2=0,$E13,INDEX(Resources!$B$2:$F$10,MATCH(CHOOSE(Weights!$D$2,$B13,$C13,$D13),Resources!$A$2:$A$10,0),MATCH(Weights!$E$2,Resources!$B$1:$F$1,0)))+Weights!$F$2*IF(Weights!$G$2=0,$E13,INDEX(Resources!$B$2:$F$10,MATCH(CHOOSE(Weights!$G$2,$B13,$C13,$D13),Resources!$A$2:$A$10,0),MATCH(Weights!$H$2,Resources!$B$1:$F$1,0)))+Weights!$I$2*IF(Weights!$J$2=0,$E13,INDEX(Resources!$B$2:$F$10,MATCH(CHOOSE(Weights!$J$2,$B13,$C13,$D13),Resources!$A$2:$A$10,0),MATCH(Weights!$K$2,Resources!$B$1:$F$1,0))))/10</f>
        <v>73</v>
      </c>
      <c r="H13" s="3" t="str">
        <f aca="false">IF(G13&lt;40,"Poor",IF(G13&lt;55,"Basic",IF(G13&lt;70,"Solid",IF(G13&lt;85,"Strong",IF(G13&lt;95,"Excellent","Exceptional")))))</f>
        <v>Strong</v>
      </c>
      <c r="I13" s="3" t="s">
        <v>33</v>
      </c>
      <c r="J13" s="6" t="n">
        <f aca="false">(Weights!$C$3*IF(Weights!$D$3=0,$E13,INDEX(Resources!$B$2:$F$10,MATCH(CHOOSE(Weights!$D$3,$B13,$C13,$D13),Resources!$A$2:$A$10,0),MATCH(Weights!$E$3,Resources!$B$1:$F$1,0)))+Weights!$F$3*IF(Weights!$G$3=0,$E13,INDEX(Resources!$B$2:$F$10,MATCH(CHOOSE(Weights!$G$3,$B13,$C13,$D13),Resources!$A$2:$A$10,0),MATCH(Weights!$H$3,Resources!$B$1:$F$1,0)))+Weights!$I$3*IF(Weights!$J$3=0,$E13,INDEX(Resources!$B$2:$F$10,MATCH(CHOOSE(Weights!$J$3,$B13,$C13,$D13),Resources!$A$2:$A$10,0),MATCH(Weights!$K$3,Resources!$B$1:$F$1,0))))/10</f>
        <v>73.9</v>
      </c>
      <c r="K13" s="3" t="str">
        <f aca="false">IF(J13&lt;40,"Poor",IF(J13&lt;55,"Basic",IF(J13&lt;70,"Solid",IF(J13&lt;85,"Strong",IF(J13&lt;95,"Excellent","Exceptional")))))</f>
        <v>Strong</v>
      </c>
      <c r="L13" s="3" t="s">
        <v>34</v>
      </c>
      <c r="M13" s="6" t="n">
        <f aca="false">(Weights!$C$4*IF(Weights!$D$4=0,$E13,INDEX(Resources!$B$2:$F$10,MATCH(CHOOSE(Weights!$D$4,$B13,$C13,$D13),Resources!$A$2:$A$10,0),MATCH(Weights!$E$4,Resources!$B$1:$F$1,0)))+Weights!$F$4*IF(Weights!$G$4=0,$E13,INDEX(Resources!$B$2:$F$10,MATCH(CHOOSE(Weights!$G$4,$B13,$C13,$D13),Resources!$A$2:$A$10,0),MATCH(Weights!$H$4,Resources!$B$1:$F$1,0)))+Weights!$I$4*IF(Weights!$J$4=0,$E13,INDEX(Resources!$B$2:$F$10,MATCH(CHOOSE(Weights!$J$4,$B13,$C13,$D13),Resources!$A$2:$A$10,0),MATCH(Weights!$K$4,Resources!$B$1:$F$1,0))))/10</f>
        <v>67.6</v>
      </c>
      <c r="N13" s="3" t="str">
        <f aca="false">IF(M13&lt;40,"Poor",IF(M13&lt;55,"Basic",IF(M13&lt;70,"Solid",IF(M13&lt;85,"Strong",IF(M13&lt;95,"Excellent","Exceptional")))))</f>
        <v>Solid</v>
      </c>
      <c r="O13" s="6" t="n">
        <f aca="false">MIN(100,MAX(G13,J13,M13)*(1+0.05*3))</f>
        <v>84.985</v>
      </c>
      <c r="P13" s="3" t="str">
        <f aca="false">IF(O13&lt;40,"Poor",IF(O13&lt;55,"Basic",IF(O13&lt;70,"Solid",IF(O13&lt;85,"Strong",IF(O13&lt;95,"Excellent","Exceptional")))))</f>
        <v>Strong</v>
      </c>
    </row>
    <row r="14" customFormat="false" ht="15" hidden="false" customHeight="true" outlineLevel="0" collapsed="false">
      <c r="A14" s="3" t="s">
        <v>31</v>
      </c>
      <c r="B14" s="4" t="s">
        <v>9</v>
      </c>
      <c r="C14" s="4" t="s">
        <v>13</v>
      </c>
      <c r="D14" s="4" t="s">
        <v>15</v>
      </c>
      <c r="E14" s="3" t="n">
        <f aca="false">AVERAGE(INDEX(Resources!$B$2:$F$10,MATCH($B14,Resources!$A$2:$A$10,0),1),INDEX(Resources!$B$2:$F$10,MATCH($C14,Resources!$A$2:$A$10,0),1),INDEX(Resources!$B$2:$F$10,MATCH($D14,Resources!$A$2:$A$10,0),1))</f>
        <v>730</v>
      </c>
      <c r="F14" s="3" t="s">
        <v>32</v>
      </c>
      <c r="G14" s="6" t="n">
        <f aca="false">(Weights!$C$2*IF(Weights!$D$2=0,$E14,INDEX(Resources!$B$2:$F$10,MATCH(CHOOSE(Weights!$D$2,$B14,$C14,$D14),Resources!$A$2:$A$10,0),MATCH(Weights!$E$2,Resources!$B$1:$F$1,0)))+Weights!$F$2*IF(Weights!$G$2=0,$E14,INDEX(Resources!$B$2:$F$10,MATCH(CHOOSE(Weights!$G$2,$B14,$C14,$D14),Resources!$A$2:$A$10,0),MATCH(Weights!$H$2,Resources!$B$1:$F$1,0)))+Weights!$I$2*IF(Weights!$J$2=0,$E14,INDEX(Resources!$B$2:$F$10,MATCH(CHOOSE(Weights!$J$2,$B14,$C14,$D14),Resources!$A$2:$A$10,0),MATCH(Weights!$K$2,Resources!$B$1:$F$1,0))))/10</f>
        <v>85</v>
      </c>
      <c r="H14" s="3" t="str">
        <f aca="false">IF(G14&lt;40,"Poor",IF(G14&lt;55,"Basic",IF(G14&lt;70,"Solid",IF(G14&lt;85,"Strong",IF(G14&lt;95,"Excellent","Exceptional")))))</f>
        <v>Excellent</v>
      </c>
      <c r="I14" s="3" t="s">
        <v>33</v>
      </c>
      <c r="J14" s="6" t="n">
        <f aca="false">(Weights!$C$3*IF(Weights!$D$3=0,$E14,INDEX(Resources!$B$2:$F$10,MATCH(CHOOSE(Weights!$D$3,$B14,$C14,$D14),Resources!$A$2:$A$10,0),MATCH(Weights!$E$3,Resources!$B$1:$F$1,0)))+Weights!$F$3*IF(Weights!$G$3=0,$E14,INDEX(Resources!$B$2:$F$10,MATCH(CHOOSE(Weights!$G$3,$B14,$C14,$D14),Resources!$A$2:$A$10,0),MATCH(Weights!$H$3,Resources!$B$1:$F$1,0)))+Weights!$I$3*IF(Weights!$J$3=0,$E14,INDEX(Resources!$B$2:$F$10,MATCH(CHOOSE(Weights!$J$3,$B14,$C14,$D14),Resources!$A$2:$A$10,0),MATCH(Weights!$K$3,Resources!$B$1:$F$1,0))))/10</f>
        <v>83.5</v>
      </c>
      <c r="K14" s="3" t="str">
        <f aca="false">IF(J14&lt;40,"Poor",IF(J14&lt;55,"Basic",IF(J14&lt;70,"Solid",IF(J14&lt;85,"Strong",IF(J14&lt;95,"Excellent","Exceptional")))))</f>
        <v>Strong</v>
      </c>
      <c r="L14" s="3" t="s">
        <v>34</v>
      </c>
      <c r="M14" s="6" t="n">
        <f aca="false">(Weights!$C$4*IF(Weights!$D$4=0,$E14,INDEX(Resources!$B$2:$F$10,MATCH(CHOOSE(Weights!$D$4,$B14,$C14,$D14),Resources!$A$2:$A$10,0),MATCH(Weights!$E$4,Resources!$B$1:$F$1,0)))+Weights!$F$4*IF(Weights!$G$4=0,$E14,INDEX(Resources!$B$2:$F$10,MATCH(CHOOSE(Weights!$G$4,$B14,$C14,$D14),Resources!$A$2:$A$10,0),MATCH(Weights!$H$4,Resources!$B$1:$F$1,0)))+Weights!$I$4*IF(Weights!$J$4=0,$E14,INDEX(Resources!$B$2:$F$10,MATCH(CHOOSE(Weights!$J$4,$B14,$C14,$D14),Resources!$A$2:$A$10,0),MATCH(Weights!$K$4,Resources!$B$1:$F$1,0))))/10</f>
        <v>80.8</v>
      </c>
      <c r="N14" s="3" t="str">
        <f aca="false">IF(M14&lt;40,"Poor",IF(M14&lt;55,"Basic",IF(M14&lt;70,"Solid",IF(M14&lt;85,"Strong",IF(M14&lt;95,"Excellent","Exceptional")))))</f>
        <v>Strong</v>
      </c>
      <c r="O14" s="6" t="n">
        <f aca="false">MIN(100,MAX(G14,J14,M14)*(1+0.05*3))</f>
        <v>97.75</v>
      </c>
      <c r="P14" s="3" t="str">
        <f aca="false">IF(O14&lt;40,"Poor",IF(O14&lt;55,"Basic",IF(O14&lt;70,"Solid",IF(O14&lt;85,"Strong",IF(O14&lt;95,"Excellent","Exceptional")))))</f>
        <v>Exceptional</v>
      </c>
    </row>
    <row r="15" customFormat="false" ht="15" hidden="false" customHeight="true" outlineLevel="0" collapsed="false">
      <c r="A15" s="3" t="s">
        <v>31</v>
      </c>
      <c r="B15" s="4" t="s">
        <v>9</v>
      </c>
      <c r="C15" s="4" t="s">
        <v>13</v>
      </c>
      <c r="D15" s="4" t="s">
        <v>17</v>
      </c>
      <c r="E15" s="3" t="n">
        <f aca="false">AVERAGE(INDEX(Resources!$B$2:$F$10,MATCH($B15,Resources!$A$2:$A$10,0),1),INDEX(Resources!$B$2:$F$10,MATCH($C15,Resources!$A$2:$A$10,0),1),INDEX(Resources!$B$2:$F$10,MATCH($D15,Resources!$A$2:$A$10,0),1))</f>
        <v>700</v>
      </c>
      <c r="F15" s="3" t="s">
        <v>32</v>
      </c>
      <c r="G15" s="6" t="n">
        <f aca="false">(Weights!$C$2*IF(Weights!$D$2=0,$E15,INDEX(Resources!$B$2:$F$10,MATCH(CHOOSE(Weights!$D$2,$B15,$C15,$D15),Resources!$A$2:$A$10,0),MATCH(Weights!$E$2,Resources!$B$1:$F$1,0)))+Weights!$F$2*IF(Weights!$G$2=0,$E15,INDEX(Resources!$B$2:$F$10,MATCH(CHOOSE(Weights!$G$2,$B15,$C15,$D15),Resources!$A$2:$A$10,0),MATCH(Weights!$H$2,Resources!$B$1:$F$1,0)))+Weights!$I$2*IF(Weights!$J$2=0,$E15,INDEX(Resources!$B$2:$F$10,MATCH(CHOOSE(Weights!$J$2,$B15,$C15,$D15),Resources!$A$2:$A$10,0),MATCH(Weights!$K$2,Resources!$B$1:$F$1,0))))/10</f>
        <v>84.4</v>
      </c>
      <c r="H15" s="3" t="str">
        <f aca="false">IF(G15&lt;40,"Poor",IF(G15&lt;55,"Basic",IF(G15&lt;70,"Solid",IF(G15&lt;85,"Strong",IF(G15&lt;95,"Excellent","Exceptional")))))</f>
        <v>Strong</v>
      </c>
      <c r="I15" s="3" t="s">
        <v>33</v>
      </c>
      <c r="J15" s="6" t="n">
        <f aca="false">(Weights!$C$3*IF(Weights!$D$3=0,$E15,INDEX(Resources!$B$2:$F$10,MATCH(CHOOSE(Weights!$D$3,$B15,$C15,$D15),Resources!$A$2:$A$10,0),MATCH(Weights!$E$3,Resources!$B$1:$F$1,0)))+Weights!$F$3*IF(Weights!$G$3=0,$E15,INDEX(Resources!$B$2:$F$10,MATCH(CHOOSE(Weights!$G$3,$B15,$C15,$D15),Resources!$A$2:$A$10,0),MATCH(Weights!$H$3,Resources!$B$1:$F$1,0)))+Weights!$I$3*IF(Weights!$J$3=0,$E15,INDEX(Resources!$B$2:$F$10,MATCH(CHOOSE(Weights!$J$3,$B15,$C15,$D15),Resources!$A$2:$A$10,0),MATCH(Weights!$K$3,Resources!$B$1:$F$1,0))))/10</f>
        <v>62.8</v>
      </c>
      <c r="K15" s="3" t="str">
        <f aca="false">IF(J15&lt;40,"Poor",IF(J15&lt;55,"Basic",IF(J15&lt;70,"Solid",IF(J15&lt;85,"Strong",IF(J15&lt;95,"Excellent","Exceptional")))))</f>
        <v>Solid</v>
      </c>
      <c r="L15" s="3" t="s">
        <v>34</v>
      </c>
      <c r="M15" s="6" t="n">
        <f aca="false">(Weights!$C$4*IF(Weights!$D$4=0,$E15,INDEX(Resources!$B$2:$F$10,MATCH(CHOOSE(Weights!$D$4,$B15,$C15,$D15),Resources!$A$2:$A$10,0),MATCH(Weights!$E$4,Resources!$B$1:$F$1,0)))+Weights!$F$4*IF(Weights!$G$4=0,$E15,INDEX(Resources!$B$2:$F$10,MATCH(CHOOSE(Weights!$G$4,$B15,$C15,$D15),Resources!$A$2:$A$10,0),MATCH(Weights!$H$4,Resources!$B$1:$F$1,0)))+Weights!$I$4*IF(Weights!$J$4=0,$E15,INDEX(Resources!$B$2:$F$10,MATCH(CHOOSE(Weights!$J$4,$B15,$C15,$D15),Resources!$A$2:$A$10,0),MATCH(Weights!$K$4,Resources!$B$1:$F$1,0))))/10</f>
        <v>50.05</v>
      </c>
      <c r="N15" s="3" t="str">
        <f aca="false">IF(M15&lt;40,"Poor",IF(M15&lt;55,"Basic",IF(M15&lt;70,"Solid",IF(M15&lt;85,"Strong",IF(M15&lt;95,"Excellent","Exceptional")))))</f>
        <v>Basic</v>
      </c>
      <c r="O15" s="6" t="n">
        <f aca="false">MIN(100,MAX(G15,J15,M15)*(1+0.05*3))</f>
        <v>97.06</v>
      </c>
      <c r="P15" s="3" t="str">
        <f aca="false">IF(O15&lt;40,"Poor",IF(O15&lt;55,"Basic",IF(O15&lt;70,"Solid",IF(O15&lt;85,"Strong",IF(O15&lt;95,"Excellent","Exceptional")))))</f>
        <v>Exceptional</v>
      </c>
    </row>
    <row r="16" customFormat="false" ht="15" hidden="false" customHeight="true" outlineLevel="0" collapsed="false">
      <c r="A16" s="3" t="s">
        <v>31</v>
      </c>
      <c r="B16" s="4" t="s">
        <v>9</v>
      </c>
      <c r="C16" s="4" t="s">
        <v>13</v>
      </c>
      <c r="D16" s="4" t="s">
        <v>18</v>
      </c>
      <c r="E16" s="3" t="n">
        <f aca="false">AVERAGE(INDEX(Resources!$B$2:$F$10,MATCH($B16,Resources!$A$2:$A$10,0),1),INDEX(Resources!$B$2:$F$10,MATCH($C16,Resources!$A$2:$A$10,0),1),INDEX(Resources!$B$2:$F$10,MATCH($D16,Resources!$A$2:$A$10,0),1))</f>
        <v>770</v>
      </c>
      <c r="F16" s="3" t="s">
        <v>32</v>
      </c>
      <c r="G16" s="6" t="n">
        <f aca="false">(Weights!$C$2*IF(Weights!$D$2=0,$E16,INDEX(Resources!$B$2:$F$10,MATCH(CHOOSE(Weights!$D$2,$B16,$C16,$D16),Resources!$A$2:$A$10,0),MATCH(Weights!$E$2,Resources!$B$1:$F$1,0)))+Weights!$F$2*IF(Weights!$G$2=0,$E16,INDEX(Resources!$B$2:$F$10,MATCH(CHOOSE(Weights!$G$2,$B16,$C16,$D16),Resources!$A$2:$A$10,0),MATCH(Weights!$H$2,Resources!$B$1:$F$1,0)))+Weights!$I$2*IF(Weights!$J$2=0,$E16,INDEX(Resources!$B$2:$F$10,MATCH(CHOOSE(Weights!$J$2,$B16,$C16,$D16),Resources!$A$2:$A$10,0),MATCH(Weights!$K$2,Resources!$B$1:$F$1,0))))/10</f>
        <v>85.8</v>
      </c>
      <c r="H16" s="3" t="str">
        <f aca="false">IF(G16&lt;40,"Poor",IF(G16&lt;55,"Basic",IF(G16&lt;70,"Solid",IF(G16&lt;85,"Strong",IF(G16&lt;95,"Excellent","Exceptional")))))</f>
        <v>Excellent</v>
      </c>
      <c r="I16" s="3" t="s">
        <v>33</v>
      </c>
      <c r="J16" s="6" t="n">
        <f aca="false">(Weights!$C$3*IF(Weights!$D$3=0,$E16,INDEX(Resources!$B$2:$F$10,MATCH(CHOOSE(Weights!$D$3,$B16,$C16,$D16),Resources!$A$2:$A$10,0),MATCH(Weights!$E$3,Resources!$B$1:$F$1,0)))+Weights!$F$3*IF(Weights!$G$3=0,$E16,INDEX(Resources!$B$2:$F$10,MATCH(CHOOSE(Weights!$G$3,$B16,$C16,$D16),Resources!$A$2:$A$10,0),MATCH(Weights!$H$3,Resources!$B$1:$F$1,0)))+Weights!$I$3*IF(Weights!$J$3=0,$E16,INDEX(Resources!$B$2:$F$10,MATCH(CHOOSE(Weights!$J$3,$B16,$C16,$D16),Resources!$A$2:$A$10,0),MATCH(Weights!$K$3,Resources!$B$1:$F$1,0))))/10</f>
        <v>77.1</v>
      </c>
      <c r="K16" s="3" t="str">
        <f aca="false">IF(J16&lt;40,"Poor",IF(J16&lt;55,"Basic",IF(J16&lt;70,"Solid",IF(J16&lt;85,"Strong",IF(J16&lt;95,"Excellent","Exceptional")))))</f>
        <v>Strong</v>
      </c>
      <c r="L16" s="3" t="s">
        <v>34</v>
      </c>
      <c r="M16" s="6" t="n">
        <f aca="false">(Weights!$C$4*IF(Weights!$D$4=0,$E16,INDEX(Resources!$B$2:$F$10,MATCH(CHOOSE(Weights!$D$4,$B16,$C16,$D16),Resources!$A$2:$A$10,0),MATCH(Weights!$E$4,Resources!$B$1:$F$1,0)))+Weights!$F$4*IF(Weights!$G$4=0,$E16,INDEX(Resources!$B$2:$F$10,MATCH(CHOOSE(Weights!$G$4,$B16,$C16,$D16),Resources!$A$2:$A$10,0),MATCH(Weights!$H$4,Resources!$B$1:$F$1,0)))+Weights!$I$4*IF(Weights!$J$4=0,$E16,INDEX(Resources!$B$2:$F$10,MATCH(CHOOSE(Weights!$J$4,$B16,$C16,$D16),Resources!$A$2:$A$10,0),MATCH(Weights!$K$4,Resources!$B$1:$F$1,0))))/10</f>
        <v>70.8</v>
      </c>
      <c r="N16" s="3" t="str">
        <f aca="false">IF(M16&lt;40,"Poor",IF(M16&lt;55,"Basic",IF(M16&lt;70,"Solid",IF(M16&lt;85,"Strong",IF(M16&lt;95,"Excellent","Exceptional")))))</f>
        <v>Strong</v>
      </c>
      <c r="O16" s="6" t="n">
        <f aca="false">MIN(100,MAX(G16,J16,M16)*(1+0.05*3))</f>
        <v>98.67</v>
      </c>
      <c r="P16" s="3" t="str">
        <f aca="false">IF(O16&lt;40,"Poor",IF(O16&lt;55,"Basic",IF(O16&lt;70,"Solid",IF(O16&lt;85,"Strong",IF(O16&lt;95,"Excellent","Exceptional")))))</f>
        <v>Exceptional</v>
      </c>
    </row>
    <row r="17" customFormat="false" ht="15" hidden="false" customHeight="true" outlineLevel="0" collapsed="false">
      <c r="A17" s="3" t="s">
        <v>31</v>
      </c>
      <c r="B17" s="4" t="s">
        <v>9</v>
      </c>
      <c r="C17" s="4" t="s">
        <v>14</v>
      </c>
      <c r="D17" s="4" t="s">
        <v>15</v>
      </c>
      <c r="E17" s="3" t="n">
        <f aca="false">AVERAGE(INDEX(Resources!$B$2:$F$10,MATCH($B17,Resources!$A$2:$A$10,0),1),INDEX(Resources!$B$2:$F$10,MATCH($C17,Resources!$A$2:$A$10,0),1),INDEX(Resources!$B$2:$F$10,MATCH($D17,Resources!$A$2:$A$10,0),1))</f>
        <v>643.333333333333</v>
      </c>
      <c r="F17" s="3" t="s">
        <v>32</v>
      </c>
      <c r="G17" s="6" t="n">
        <f aca="false">(Weights!$C$2*IF(Weights!$D$2=0,$E17,INDEX(Resources!$B$2:$F$10,MATCH(CHOOSE(Weights!$D$2,$B17,$C17,$D17),Resources!$A$2:$A$10,0),MATCH(Weights!$E$2,Resources!$B$1:$F$1,0)))+Weights!$F$2*IF(Weights!$G$2=0,$E17,INDEX(Resources!$B$2:$F$10,MATCH(CHOOSE(Weights!$G$2,$B17,$C17,$D17),Resources!$A$2:$A$10,0),MATCH(Weights!$H$2,Resources!$B$1:$F$1,0)))+Weights!$I$2*IF(Weights!$J$2=0,$E17,INDEX(Resources!$B$2:$F$10,MATCH(CHOOSE(Weights!$J$2,$B17,$C17,$D17),Resources!$A$2:$A$10,0),MATCH(Weights!$K$2,Resources!$B$1:$F$1,0))))/10</f>
        <v>74.5666666666667</v>
      </c>
      <c r="H17" s="3" t="str">
        <f aca="false">IF(G17&lt;40,"Poor",IF(G17&lt;55,"Basic",IF(G17&lt;70,"Solid",IF(G17&lt;85,"Strong",IF(G17&lt;95,"Excellent","Exceptional")))))</f>
        <v>Strong</v>
      </c>
      <c r="I17" s="3" t="s">
        <v>33</v>
      </c>
      <c r="J17" s="6" t="n">
        <f aca="false">(Weights!$C$3*IF(Weights!$D$3=0,$E17,INDEX(Resources!$B$2:$F$10,MATCH(CHOOSE(Weights!$D$3,$B17,$C17,$D17),Resources!$A$2:$A$10,0),MATCH(Weights!$E$3,Resources!$B$1:$F$1,0)))+Weights!$F$3*IF(Weights!$G$3=0,$E17,INDEX(Resources!$B$2:$F$10,MATCH(CHOOSE(Weights!$G$3,$B17,$C17,$D17),Resources!$A$2:$A$10,0),MATCH(Weights!$H$3,Resources!$B$1:$F$1,0)))+Weights!$I$3*IF(Weights!$J$3=0,$E17,INDEX(Resources!$B$2:$F$10,MATCH(CHOOSE(Weights!$J$3,$B17,$C17,$D17),Resources!$A$2:$A$10,0),MATCH(Weights!$K$3,Resources!$B$1:$F$1,0))))/10</f>
        <v>81.7666666666667</v>
      </c>
      <c r="K17" s="3" t="str">
        <f aca="false">IF(J17&lt;40,"Poor",IF(J17&lt;55,"Basic",IF(J17&lt;70,"Solid",IF(J17&lt;85,"Strong",IF(J17&lt;95,"Excellent","Exceptional")))))</f>
        <v>Strong</v>
      </c>
      <c r="L17" s="3" t="s">
        <v>34</v>
      </c>
      <c r="M17" s="6" t="n">
        <f aca="false">(Weights!$C$4*IF(Weights!$D$4=0,$E17,INDEX(Resources!$B$2:$F$10,MATCH(CHOOSE(Weights!$D$4,$B17,$C17,$D17),Resources!$A$2:$A$10,0),MATCH(Weights!$E$4,Resources!$B$1:$F$1,0)))+Weights!$F$4*IF(Weights!$G$4=0,$E17,INDEX(Resources!$B$2:$F$10,MATCH(CHOOSE(Weights!$G$4,$B17,$C17,$D17),Resources!$A$2:$A$10,0),MATCH(Weights!$H$4,Resources!$B$1:$F$1,0)))+Weights!$I$4*IF(Weights!$J$4=0,$E17,INDEX(Resources!$B$2:$F$10,MATCH(CHOOSE(Weights!$J$4,$B17,$C17,$D17),Resources!$A$2:$A$10,0),MATCH(Weights!$K$4,Resources!$B$1:$F$1,0))))/10</f>
        <v>79.0666666666667</v>
      </c>
      <c r="N17" s="3" t="str">
        <f aca="false">IF(M17&lt;40,"Poor",IF(M17&lt;55,"Basic",IF(M17&lt;70,"Solid",IF(M17&lt;85,"Strong",IF(M17&lt;95,"Excellent","Exceptional")))))</f>
        <v>Strong</v>
      </c>
      <c r="O17" s="6" t="n">
        <f aca="false">MIN(100,MAX(G17,J17,M17)*(1+0.05*3))</f>
        <v>94.0316666666667</v>
      </c>
      <c r="P17" s="3" t="str">
        <f aca="false">IF(O17&lt;40,"Poor",IF(O17&lt;55,"Basic",IF(O17&lt;70,"Solid",IF(O17&lt;85,"Strong",IF(O17&lt;95,"Excellent","Exceptional")))))</f>
        <v>Excellent</v>
      </c>
    </row>
    <row r="18" customFormat="false" ht="15" hidden="false" customHeight="true" outlineLevel="0" collapsed="false">
      <c r="A18" s="3" t="s">
        <v>31</v>
      </c>
      <c r="B18" s="4" t="s">
        <v>9</v>
      </c>
      <c r="C18" s="4" t="s">
        <v>14</v>
      </c>
      <c r="D18" s="4" t="s">
        <v>17</v>
      </c>
      <c r="E18" s="3" t="n">
        <f aca="false">AVERAGE(INDEX(Resources!$B$2:$F$10,MATCH($B18,Resources!$A$2:$A$10,0),1),INDEX(Resources!$B$2:$F$10,MATCH($C18,Resources!$A$2:$A$10,0),1),INDEX(Resources!$B$2:$F$10,MATCH($D18,Resources!$A$2:$A$10,0),1))</f>
        <v>613.333333333333</v>
      </c>
      <c r="F18" s="3" t="s">
        <v>32</v>
      </c>
      <c r="G18" s="6" t="n">
        <f aca="false">(Weights!$C$2*IF(Weights!$D$2=0,$E18,INDEX(Resources!$B$2:$F$10,MATCH(CHOOSE(Weights!$D$2,$B18,$C18,$D18),Resources!$A$2:$A$10,0),MATCH(Weights!$E$2,Resources!$B$1:$F$1,0)))+Weights!$F$2*IF(Weights!$G$2=0,$E18,INDEX(Resources!$B$2:$F$10,MATCH(CHOOSE(Weights!$G$2,$B18,$C18,$D18),Resources!$A$2:$A$10,0),MATCH(Weights!$H$2,Resources!$B$1:$F$1,0)))+Weights!$I$2*IF(Weights!$J$2=0,$E18,INDEX(Resources!$B$2:$F$10,MATCH(CHOOSE(Weights!$J$2,$B18,$C18,$D18),Resources!$A$2:$A$10,0),MATCH(Weights!$K$2,Resources!$B$1:$F$1,0))))/10</f>
        <v>73.9666666666667</v>
      </c>
      <c r="H18" s="3" t="str">
        <f aca="false">IF(G18&lt;40,"Poor",IF(G18&lt;55,"Basic",IF(G18&lt;70,"Solid",IF(G18&lt;85,"Strong",IF(G18&lt;95,"Excellent","Exceptional")))))</f>
        <v>Strong</v>
      </c>
      <c r="I18" s="3" t="s">
        <v>33</v>
      </c>
      <c r="J18" s="6" t="n">
        <f aca="false">(Weights!$C$3*IF(Weights!$D$3=0,$E18,INDEX(Resources!$B$2:$F$10,MATCH(CHOOSE(Weights!$D$3,$B18,$C18,$D18),Resources!$A$2:$A$10,0),MATCH(Weights!$E$3,Resources!$B$1:$F$1,0)))+Weights!$F$3*IF(Weights!$G$3=0,$E18,INDEX(Resources!$B$2:$F$10,MATCH(CHOOSE(Weights!$G$3,$B18,$C18,$D18),Resources!$A$2:$A$10,0),MATCH(Weights!$H$3,Resources!$B$1:$F$1,0)))+Weights!$I$3*IF(Weights!$J$3=0,$E18,INDEX(Resources!$B$2:$F$10,MATCH(CHOOSE(Weights!$J$3,$B18,$C18,$D18),Resources!$A$2:$A$10,0),MATCH(Weights!$K$3,Resources!$B$1:$F$1,0))))/10</f>
        <v>61.0666666666667</v>
      </c>
      <c r="K18" s="3" t="str">
        <f aca="false">IF(J18&lt;40,"Poor",IF(J18&lt;55,"Basic",IF(J18&lt;70,"Solid",IF(J18&lt;85,"Strong",IF(J18&lt;95,"Excellent","Exceptional")))))</f>
        <v>Solid</v>
      </c>
      <c r="L18" s="3" t="s">
        <v>34</v>
      </c>
      <c r="M18" s="6" t="n">
        <f aca="false">(Weights!$C$4*IF(Weights!$D$4=0,$E18,INDEX(Resources!$B$2:$F$10,MATCH(CHOOSE(Weights!$D$4,$B18,$C18,$D18),Resources!$A$2:$A$10,0),MATCH(Weights!$E$4,Resources!$B$1:$F$1,0)))+Weights!$F$4*IF(Weights!$G$4=0,$E18,INDEX(Resources!$B$2:$F$10,MATCH(CHOOSE(Weights!$G$4,$B18,$C18,$D18),Resources!$A$2:$A$10,0),MATCH(Weights!$H$4,Resources!$B$1:$F$1,0)))+Weights!$I$4*IF(Weights!$J$4=0,$E18,INDEX(Resources!$B$2:$F$10,MATCH(CHOOSE(Weights!$J$4,$B18,$C18,$D18),Resources!$A$2:$A$10,0),MATCH(Weights!$K$4,Resources!$B$1:$F$1,0))))/10</f>
        <v>48.3166666666667</v>
      </c>
      <c r="N18" s="3" t="str">
        <f aca="false">IF(M18&lt;40,"Poor",IF(M18&lt;55,"Basic",IF(M18&lt;70,"Solid",IF(M18&lt;85,"Strong",IF(M18&lt;95,"Excellent","Exceptional")))))</f>
        <v>Basic</v>
      </c>
      <c r="O18" s="6" t="n">
        <f aca="false">MIN(100,MAX(G18,J18,M18)*(1+0.05*3))</f>
        <v>85.0616666666667</v>
      </c>
      <c r="P18" s="3" t="str">
        <f aca="false">IF(O18&lt;40,"Poor",IF(O18&lt;55,"Basic",IF(O18&lt;70,"Solid",IF(O18&lt;85,"Strong",IF(O18&lt;95,"Excellent","Exceptional")))))</f>
        <v>Excellent</v>
      </c>
    </row>
    <row r="19" customFormat="false" ht="15" hidden="false" customHeight="true" outlineLevel="0" collapsed="false">
      <c r="A19" s="3" t="s">
        <v>31</v>
      </c>
      <c r="B19" s="4" t="s">
        <v>9</v>
      </c>
      <c r="C19" s="4" t="s">
        <v>14</v>
      </c>
      <c r="D19" s="4" t="s">
        <v>18</v>
      </c>
      <c r="E19" s="3" t="n">
        <f aca="false">AVERAGE(INDEX(Resources!$B$2:$F$10,MATCH($B19,Resources!$A$2:$A$10,0),1),INDEX(Resources!$B$2:$F$10,MATCH($C19,Resources!$A$2:$A$10,0),1),INDEX(Resources!$B$2:$F$10,MATCH($D19,Resources!$A$2:$A$10,0),1))</f>
        <v>683.333333333333</v>
      </c>
      <c r="F19" s="3" t="s">
        <v>32</v>
      </c>
      <c r="G19" s="6" t="n">
        <f aca="false">(Weights!$C$2*IF(Weights!$D$2=0,$E19,INDEX(Resources!$B$2:$F$10,MATCH(CHOOSE(Weights!$D$2,$B19,$C19,$D19),Resources!$A$2:$A$10,0),MATCH(Weights!$E$2,Resources!$B$1:$F$1,0)))+Weights!$F$2*IF(Weights!$G$2=0,$E19,INDEX(Resources!$B$2:$F$10,MATCH(CHOOSE(Weights!$G$2,$B19,$C19,$D19),Resources!$A$2:$A$10,0),MATCH(Weights!$H$2,Resources!$B$1:$F$1,0)))+Weights!$I$2*IF(Weights!$J$2=0,$E19,INDEX(Resources!$B$2:$F$10,MATCH(CHOOSE(Weights!$J$2,$B19,$C19,$D19),Resources!$A$2:$A$10,0),MATCH(Weights!$K$2,Resources!$B$1:$F$1,0))))/10</f>
        <v>75.3666666666667</v>
      </c>
      <c r="H19" s="3" t="str">
        <f aca="false">IF(G19&lt;40,"Poor",IF(G19&lt;55,"Basic",IF(G19&lt;70,"Solid",IF(G19&lt;85,"Strong",IF(G19&lt;95,"Excellent","Exceptional")))))</f>
        <v>Strong</v>
      </c>
      <c r="I19" s="3" t="s">
        <v>33</v>
      </c>
      <c r="J19" s="6" t="n">
        <f aca="false">(Weights!$C$3*IF(Weights!$D$3=0,$E19,INDEX(Resources!$B$2:$F$10,MATCH(CHOOSE(Weights!$D$3,$B19,$C19,$D19),Resources!$A$2:$A$10,0),MATCH(Weights!$E$3,Resources!$B$1:$F$1,0)))+Weights!$F$3*IF(Weights!$G$3=0,$E19,INDEX(Resources!$B$2:$F$10,MATCH(CHOOSE(Weights!$G$3,$B19,$C19,$D19),Resources!$A$2:$A$10,0),MATCH(Weights!$H$3,Resources!$B$1:$F$1,0)))+Weights!$I$3*IF(Weights!$J$3=0,$E19,INDEX(Resources!$B$2:$F$10,MATCH(CHOOSE(Weights!$J$3,$B19,$C19,$D19),Resources!$A$2:$A$10,0),MATCH(Weights!$K$3,Resources!$B$1:$F$1,0))))/10</f>
        <v>75.3666666666667</v>
      </c>
      <c r="K19" s="3" t="str">
        <f aca="false">IF(J19&lt;40,"Poor",IF(J19&lt;55,"Basic",IF(J19&lt;70,"Solid",IF(J19&lt;85,"Strong",IF(J19&lt;95,"Excellent","Exceptional")))))</f>
        <v>Strong</v>
      </c>
      <c r="L19" s="3" t="s">
        <v>34</v>
      </c>
      <c r="M19" s="6" t="n">
        <f aca="false">(Weights!$C$4*IF(Weights!$D$4=0,$E19,INDEX(Resources!$B$2:$F$10,MATCH(CHOOSE(Weights!$D$4,$B19,$C19,$D19),Resources!$A$2:$A$10,0),MATCH(Weights!$E$4,Resources!$B$1:$F$1,0)))+Weights!$F$4*IF(Weights!$G$4=0,$E19,INDEX(Resources!$B$2:$F$10,MATCH(CHOOSE(Weights!$G$4,$B19,$C19,$D19),Resources!$A$2:$A$10,0),MATCH(Weights!$H$4,Resources!$B$1:$F$1,0)))+Weights!$I$4*IF(Weights!$J$4=0,$E19,INDEX(Resources!$B$2:$F$10,MATCH(CHOOSE(Weights!$J$4,$B19,$C19,$D19),Resources!$A$2:$A$10,0),MATCH(Weights!$K$4,Resources!$B$1:$F$1,0))))/10</f>
        <v>69.0666666666667</v>
      </c>
      <c r="N19" s="3" t="str">
        <f aca="false">IF(M19&lt;40,"Poor",IF(M19&lt;55,"Basic",IF(M19&lt;70,"Solid",IF(M19&lt;85,"Strong",IF(M19&lt;95,"Excellent","Exceptional")))))</f>
        <v>Solid</v>
      </c>
      <c r="O19" s="6" t="n">
        <f aca="false">MIN(100,MAX(G19,J19,M19)*(1+0.05*3))</f>
        <v>86.6716666666667</v>
      </c>
      <c r="P19" s="3" t="str">
        <f aca="false">IF(O19&lt;40,"Poor",IF(O19&lt;55,"Basic",IF(O19&lt;70,"Solid",IF(O19&lt;85,"Strong",IF(O19&lt;95,"Excellent","Exceptional")))))</f>
        <v>Excellent</v>
      </c>
    </row>
    <row r="20" customFormat="false" ht="15" hidden="false" customHeight="true" outlineLevel="0" collapsed="false">
      <c r="A20" s="3" t="s">
        <v>31</v>
      </c>
      <c r="B20" s="4" t="s">
        <v>10</v>
      </c>
      <c r="C20" s="4" t="s">
        <v>11</v>
      </c>
      <c r="D20" s="4" t="s">
        <v>15</v>
      </c>
      <c r="E20" s="3" t="n">
        <f aca="false">AVERAGE(INDEX(Resources!$B$2:$F$10,MATCH($B20,Resources!$A$2:$A$10,0),1),INDEX(Resources!$B$2:$F$10,MATCH($C20,Resources!$A$2:$A$10,0),1),INDEX(Resources!$B$2:$F$10,MATCH($D20,Resources!$A$2:$A$10,0),1))</f>
        <v>543.333333333333</v>
      </c>
      <c r="F20" s="3" t="s">
        <v>32</v>
      </c>
      <c r="G20" s="6" t="n">
        <f aca="false">(Weights!$C$2*IF(Weights!$D$2=0,$E20,INDEX(Resources!$B$2:$F$10,MATCH(CHOOSE(Weights!$D$2,$B20,$C20,$D20),Resources!$A$2:$A$10,0),MATCH(Weights!$E$2,Resources!$B$1:$F$1,0)))+Weights!$F$2*IF(Weights!$G$2=0,$E20,INDEX(Resources!$B$2:$F$10,MATCH(CHOOSE(Weights!$G$2,$B20,$C20,$D20),Resources!$A$2:$A$10,0),MATCH(Weights!$H$2,Resources!$B$1:$F$1,0)))+Weights!$I$2*IF(Weights!$J$2=0,$E20,INDEX(Resources!$B$2:$F$10,MATCH(CHOOSE(Weights!$J$2,$B20,$C20,$D20),Resources!$A$2:$A$10,0),MATCH(Weights!$K$2,Resources!$B$1:$F$1,0))))/10</f>
        <v>50.6666666666667</v>
      </c>
      <c r="H20" s="3" t="str">
        <f aca="false">IF(G20&lt;40,"Poor",IF(G20&lt;55,"Basic",IF(G20&lt;70,"Solid",IF(G20&lt;85,"Strong",IF(G20&lt;95,"Excellent","Exceptional")))))</f>
        <v>Basic</v>
      </c>
      <c r="I20" s="3" t="s">
        <v>33</v>
      </c>
      <c r="J20" s="6" t="n">
        <f aca="false">(Weights!$C$3*IF(Weights!$D$3=0,$E20,INDEX(Resources!$B$2:$F$10,MATCH(CHOOSE(Weights!$D$3,$B20,$C20,$D20),Resources!$A$2:$A$10,0),MATCH(Weights!$E$3,Resources!$B$1:$F$1,0)))+Weights!$F$3*IF(Weights!$G$3=0,$E20,INDEX(Resources!$B$2:$F$10,MATCH(CHOOSE(Weights!$G$3,$B20,$C20,$D20),Resources!$A$2:$A$10,0),MATCH(Weights!$H$3,Resources!$B$1:$F$1,0)))+Weights!$I$3*IF(Weights!$J$3=0,$E20,INDEX(Resources!$B$2:$F$10,MATCH(CHOOSE(Weights!$J$3,$B20,$C20,$D20),Resources!$A$2:$A$10,0),MATCH(Weights!$K$3,Resources!$B$1:$F$1,0))))/10</f>
        <v>58.7666666666667</v>
      </c>
      <c r="K20" s="3" t="str">
        <f aca="false">IF(J20&lt;40,"Poor",IF(J20&lt;55,"Basic",IF(J20&lt;70,"Solid",IF(J20&lt;85,"Strong",IF(J20&lt;95,"Excellent","Exceptional")))))</f>
        <v>Solid</v>
      </c>
      <c r="L20" s="3" t="s">
        <v>34</v>
      </c>
      <c r="M20" s="6" t="n">
        <f aca="false">(Weights!$C$4*IF(Weights!$D$4=0,$E20,INDEX(Resources!$B$2:$F$10,MATCH(CHOOSE(Weights!$D$4,$B20,$C20,$D20),Resources!$A$2:$A$10,0),MATCH(Weights!$E$4,Resources!$B$1:$F$1,0)))+Weights!$F$4*IF(Weights!$G$4=0,$E20,INDEX(Resources!$B$2:$F$10,MATCH(CHOOSE(Weights!$G$4,$B20,$C20,$D20),Resources!$A$2:$A$10,0),MATCH(Weights!$H$4,Resources!$B$1:$F$1,0)))+Weights!$I$4*IF(Weights!$J$4=0,$E20,INDEX(Resources!$B$2:$F$10,MATCH(CHOOSE(Weights!$J$4,$B20,$C20,$D20),Resources!$A$2:$A$10,0),MATCH(Weights!$K$4,Resources!$B$1:$F$1,0))))/10</f>
        <v>81.2666666666667</v>
      </c>
      <c r="N20" s="3" t="str">
        <f aca="false">IF(M20&lt;40,"Poor",IF(M20&lt;55,"Basic",IF(M20&lt;70,"Solid",IF(M20&lt;85,"Strong",IF(M20&lt;95,"Excellent","Exceptional")))))</f>
        <v>Strong</v>
      </c>
      <c r="O20" s="6" t="n">
        <f aca="false">MIN(100,MAX(G20,J20,M20)*(1+0.05*3))</f>
        <v>93.4566666666667</v>
      </c>
      <c r="P20" s="3" t="str">
        <f aca="false">IF(O20&lt;40,"Poor",IF(O20&lt;55,"Basic",IF(O20&lt;70,"Solid",IF(O20&lt;85,"Strong",IF(O20&lt;95,"Excellent","Exceptional")))))</f>
        <v>Excellent</v>
      </c>
    </row>
    <row r="21" customFormat="false" ht="15" hidden="false" customHeight="true" outlineLevel="0" collapsed="false">
      <c r="A21" s="3" t="s">
        <v>31</v>
      </c>
      <c r="B21" s="4" t="s">
        <v>10</v>
      </c>
      <c r="C21" s="4" t="s">
        <v>11</v>
      </c>
      <c r="D21" s="4" t="s">
        <v>17</v>
      </c>
      <c r="E21" s="3" t="n">
        <f aca="false">AVERAGE(INDEX(Resources!$B$2:$F$10,MATCH($B21,Resources!$A$2:$A$10,0),1),INDEX(Resources!$B$2:$F$10,MATCH($C21,Resources!$A$2:$A$10,0),1),INDEX(Resources!$B$2:$F$10,MATCH($D21,Resources!$A$2:$A$10,0),1))</f>
        <v>513.333333333333</v>
      </c>
      <c r="F21" s="3" t="s">
        <v>32</v>
      </c>
      <c r="G21" s="6" t="n">
        <f aca="false">(Weights!$C$2*IF(Weights!$D$2=0,$E21,INDEX(Resources!$B$2:$F$10,MATCH(CHOOSE(Weights!$D$2,$B21,$C21,$D21),Resources!$A$2:$A$10,0),MATCH(Weights!$E$2,Resources!$B$1:$F$1,0)))+Weights!$F$2*IF(Weights!$G$2=0,$E21,INDEX(Resources!$B$2:$F$10,MATCH(CHOOSE(Weights!$G$2,$B21,$C21,$D21),Resources!$A$2:$A$10,0),MATCH(Weights!$H$2,Resources!$B$1:$F$1,0)))+Weights!$I$2*IF(Weights!$J$2=0,$E21,INDEX(Resources!$B$2:$F$10,MATCH(CHOOSE(Weights!$J$2,$B21,$C21,$D21),Resources!$A$2:$A$10,0),MATCH(Weights!$K$2,Resources!$B$1:$F$1,0))))/10</f>
        <v>50.0666666666667</v>
      </c>
      <c r="H21" s="3" t="str">
        <f aca="false">IF(G21&lt;40,"Poor",IF(G21&lt;55,"Basic",IF(G21&lt;70,"Solid",IF(G21&lt;85,"Strong",IF(G21&lt;95,"Excellent","Exceptional")))))</f>
        <v>Basic</v>
      </c>
      <c r="I21" s="3" t="s">
        <v>33</v>
      </c>
      <c r="J21" s="6" t="n">
        <f aca="false">(Weights!$C$3*IF(Weights!$D$3=0,$E21,INDEX(Resources!$B$2:$F$10,MATCH(CHOOSE(Weights!$D$3,$B21,$C21,$D21),Resources!$A$2:$A$10,0),MATCH(Weights!$E$3,Resources!$B$1:$F$1,0)))+Weights!$F$3*IF(Weights!$G$3=0,$E21,INDEX(Resources!$B$2:$F$10,MATCH(CHOOSE(Weights!$G$3,$B21,$C21,$D21),Resources!$A$2:$A$10,0),MATCH(Weights!$H$3,Resources!$B$1:$F$1,0)))+Weights!$I$3*IF(Weights!$J$3=0,$E21,INDEX(Resources!$B$2:$F$10,MATCH(CHOOSE(Weights!$J$3,$B21,$C21,$D21),Resources!$A$2:$A$10,0),MATCH(Weights!$K$3,Resources!$B$1:$F$1,0))))/10</f>
        <v>38.0666666666667</v>
      </c>
      <c r="K21" s="3" t="str">
        <f aca="false">IF(J21&lt;40,"Poor",IF(J21&lt;55,"Basic",IF(J21&lt;70,"Solid",IF(J21&lt;85,"Strong",IF(J21&lt;95,"Excellent","Exceptional")))))</f>
        <v>Poor</v>
      </c>
      <c r="L21" s="3" t="s">
        <v>34</v>
      </c>
      <c r="M21" s="6" t="n">
        <f aca="false">(Weights!$C$4*IF(Weights!$D$4=0,$E21,INDEX(Resources!$B$2:$F$10,MATCH(CHOOSE(Weights!$D$4,$B21,$C21,$D21),Resources!$A$2:$A$10,0),MATCH(Weights!$E$4,Resources!$B$1:$F$1,0)))+Weights!$F$4*IF(Weights!$G$4=0,$E21,INDEX(Resources!$B$2:$F$10,MATCH(CHOOSE(Weights!$G$4,$B21,$C21,$D21),Resources!$A$2:$A$10,0),MATCH(Weights!$H$4,Resources!$B$1:$F$1,0)))+Weights!$I$4*IF(Weights!$J$4=0,$E21,INDEX(Resources!$B$2:$F$10,MATCH(CHOOSE(Weights!$J$4,$B21,$C21,$D21),Resources!$A$2:$A$10,0),MATCH(Weights!$K$4,Resources!$B$1:$F$1,0))))/10</f>
        <v>50.5166666666667</v>
      </c>
      <c r="N21" s="3" t="str">
        <f aca="false">IF(M21&lt;40,"Poor",IF(M21&lt;55,"Basic",IF(M21&lt;70,"Solid",IF(M21&lt;85,"Strong",IF(M21&lt;95,"Excellent","Exceptional")))))</f>
        <v>Basic</v>
      </c>
      <c r="O21" s="6" t="n">
        <f aca="false">MIN(100,MAX(G21,J21,M21)*(1+0.05*3))</f>
        <v>58.0941666666667</v>
      </c>
      <c r="P21" s="3" t="str">
        <f aca="false">IF(O21&lt;40,"Poor",IF(O21&lt;55,"Basic",IF(O21&lt;70,"Solid",IF(O21&lt;85,"Strong",IF(O21&lt;95,"Excellent","Exceptional")))))</f>
        <v>Solid</v>
      </c>
    </row>
    <row r="22" customFormat="false" ht="15" hidden="false" customHeight="true" outlineLevel="0" collapsed="false">
      <c r="A22" s="3" t="s">
        <v>31</v>
      </c>
      <c r="B22" s="4" t="s">
        <v>10</v>
      </c>
      <c r="C22" s="4" t="s">
        <v>11</v>
      </c>
      <c r="D22" s="4" t="s">
        <v>18</v>
      </c>
      <c r="E22" s="3" t="n">
        <f aca="false">AVERAGE(INDEX(Resources!$B$2:$F$10,MATCH($B22,Resources!$A$2:$A$10,0),1),INDEX(Resources!$B$2:$F$10,MATCH($C22,Resources!$A$2:$A$10,0),1),INDEX(Resources!$B$2:$F$10,MATCH($D22,Resources!$A$2:$A$10,0),1))</f>
        <v>583.333333333333</v>
      </c>
      <c r="F22" s="3" t="s">
        <v>32</v>
      </c>
      <c r="G22" s="6" t="n">
        <f aca="false">(Weights!$C$2*IF(Weights!$D$2=0,$E22,INDEX(Resources!$B$2:$F$10,MATCH(CHOOSE(Weights!$D$2,$B22,$C22,$D22),Resources!$A$2:$A$10,0),MATCH(Weights!$E$2,Resources!$B$1:$F$1,0)))+Weights!$F$2*IF(Weights!$G$2=0,$E22,INDEX(Resources!$B$2:$F$10,MATCH(CHOOSE(Weights!$G$2,$B22,$C22,$D22),Resources!$A$2:$A$10,0),MATCH(Weights!$H$2,Resources!$B$1:$F$1,0)))+Weights!$I$2*IF(Weights!$J$2=0,$E22,INDEX(Resources!$B$2:$F$10,MATCH(CHOOSE(Weights!$J$2,$B22,$C22,$D22),Resources!$A$2:$A$10,0),MATCH(Weights!$K$2,Resources!$B$1:$F$1,0))))/10</f>
        <v>51.4666666666667</v>
      </c>
      <c r="H22" s="3" t="str">
        <f aca="false">IF(G22&lt;40,"Poor",IF(G22&lt;55,"Basic",IF(G22&lt;70,"Solid",IF(G22&lt;85,"Strong",IF(G22&lt;95,"Excellent","Exceptional")))))</f>
        <v>Basic</v>
      </c>
      <c r="I22" s="3" t="s">
        <v>33</v>
      </c>
      <c r="J22" s="6" t="n">
        <f aca="false">(Weights!$C$3*IF(Weights!$D$3=0,$E22,INDEX(Resources!$B$2:$F$10,MATCH(CHOOSE(Weights!$D$3,$B22,$C22,$D22),Resources!$A$2:$A$10,0),MATCH(Weights!$E$3,Resources!$B$1:$F$1,0)))+Weights!$F$3*IF(Weights!$G$3=0,$E22,INDEX(Resources!$B$2:$F$10,MATCH(CHOOSE(Weights!$G$3,$B22,$C22,$D22),Resources!$A$2:$A$10,0),MATCH(Weights!$H$3,Resources!$B$1:$F$1,0)))+Weights!$I$3*IF(Weights!$J$3=0,$E22,INDEX(Resources!$B$2:$F$10,MATCH(CHOOSE(Weights!$J$3,$B22,$C22,$D22),Resources!$A$2:$A$10,0),MATCH(Weights!$K$3,Resources!$B$1:$F$1,0))))/10</f>
        <v>52.3666666666667</v>
      </c>
      <c r="K22" s="3" t="str">
        <f aca="false">IF(J22&lt;40,"Poor",IF(J22&lt;55,"Basic",IF(J22&lt;70,"Solid",IF(J22&lt;85,"Strong",IF(J22&lt;95,"Excellent","Exceptional")))))</f>
        <v>Basic</v>
      </c>
      <c r="L22" s="3" t="s">
        <v>34</v>
      </c>
      <c r="M22" s="6" t="n">
        <f aca="false">(Weights!$C$4*IF(Weights!$D$4=0,$E22,INDEX(Resources!$B$2:$F$10,MATCH(CHOOSE(Weights!$D$4,$B22,$C22,$D22),Resources!$A$2:$A$10,0),MATCH(Weights!$E$4,Resources!$B$1:$F$1,0)))+Weights!$F$4*IF(Weights!$G$4=0,$E22,INDEX(Resources!$B$2:$F$10,MATCH(CHOOSE(Weights!$G$4,$B22,$C22,$D22),Resources!$A$2:$A$10,0),MATCH(Weights!$H$4,Resources!$B$1:$F$1,0)))+Weights!$I$4*IF(Weights!$J$4=0,$E22,INDEX(Resources!$B$2:$F$10,MATCH(CHOOSE(Weights!$J$4,$B22,$C22,$D22),Resources!$A$2:$A$10,0),MATCH(Weights!$K$4,Resources!$B$1:$F$1,0))))/10</f>
        <v>71.2666666666667</v>
      </c>
      <c r="N22" s="3" t="str">
        <f aca="false">IF(M22&lt;40,"Poor",IF(M22&lt;55,"Basic",IF(M22&lt;70,"Solid",IF(M22&lt;85,"Strong",IF(M22&lt;95,"Excellent","Exceptional")))))</f>
        <v>Strong</v>
      </c>
      <c r="O22" s="6" t="n">
        <f aca="false">MIN(100,MAX(G22,J22,M22)*(1+0.05*3))</f>
        <v>81.9566666666667</v>
      </c>
      <c r="P22" s="3" t="str">
        <f aca="false">IF(O22&lt;40,"Poor",IF(O22&lt;55,"Basic",IF(O22&lt;70,"Solid",IF(O22&lt;85,"Strong",IF(O22&lt;95,"Excellent","Exceptional")))))</f>
        <v>Strong</v>
      </c>
    </row>
    <row r="23" customFormat="false" ht="15" hidden="false" customHeight="true" outlineLevel="0" collapsed="false">
      <c r="A23" s="3" t="s">
        <v>31</v>
      </c>
      <c r="B23" s="4" t="s">
        <v>10</v>
      </c>
      <c r="C23" s="4" t="s">
        <v>13</v>
      </c>
      <c r="D23" s="4" t="s">
        <v>15</v>
      </c>
      <c r="E23" s="3" t="n">
        <f aca="false">AVERAGE(INDEX(Resources!$B$2:$F$10,MATCH($B23,Resources!$A$2:$A$10,0),1),INDEX(Resources!$B$2:$F$10,MATCH($C23,Resources!$A$2:$A$10,0),1),INDEX(Resources!$B$2:$F$10,MATCH($D23,Resources!$A$2:$A$10,0),1))</f>
        <v>703.333333333333</v>
      </c>
      <c r="F23" s="3" t="s">
        <v>32</v>
      </c>
      <c r="G23" s="6" t="n">
        <f aca="false">(Weights!$C$2*IF(Weights!$D$2=0,$E23,INDEX(Resources!$B$2:$F$10,MATCH(CHOOSE(Weights!$D$2,$B23,$C23,$D23),Resources!$A$2:$A$10,0),MATCH(Weights!$E$2,Resources!$B$1:$F$1,0)))+Weights!$F$2*IF(Weights!$G$2=0,$E23,INDEX(Resources!$B$2:$F$10,MATCH(CHOOSE(Weights!$G$2,$B23,$C23,$D23),Resources!$A$2:$A$10,0),MATCH(Weights!$H$2,Resources!$B$1:$F$1,0)))+Weights!$I$2*IF(Weights!$J$2=0,$E23,INDEX(Resources!$B$2:$F$10,MATCH(CHOOSE(Weights!$J$2,$B23,$C23,$D23),Resources!$A$2:$A$10,0),MATCH(Weights!$K$2,Resources!$B$1:$F$1,0))))/10</f>
        <v>63.4666666666667</v>
      </c>
      <c r="H23" s="3" t="str">
        <f aca="false">IF(G23&lt;40,"Poor",IF(G23&lt;55,"Basic",IF(G23&lt;70,"Solid",IF(G23&lt;85,"Strong",IF(G23&lt;95,"Excellent","Exceptional")))))</f>
        <v>Solid</v>
      </c>
      <c r="I23" s="3" t="s">
        <v>33</v>
      </c>
      <c r="J23" s="6" t="n">
        <f aca="false">(Weights!$C$3*IF(Weights!$D$3=0,$E23,INDEX(Resources!$B$2:$F$10,MATCH(CHOOSE(Weights!$D$3,$B23,$C23,$D23),Resources!$A$2:$A$10,0),MATCH(Weights!$E$3,Resources!$B$1:$F$1,0)))+Weights!$F$3*IF(Weights!$G$3=0,$E23,INDEX(Resources!$B$2:$F$10,MATCH(CHOOSE(Weights!$G$3,$B23,$C23,$D23),Resources!$A$2:$A$10,0),MATCH(Weights!$H$3,Resources!$B$1:$F$1,0)))+Weights!$I$3*IF(Weights!$J$3=0,$E23,INDEX(Resources!$B$2:$F$10,MATCH(CHOOSE(Weights!$J$3,$B23,$C23,$D23),Resources!$A$2:$A$10,0),MATCH(Weights!$K$3,Resources!$B$1:$F$1,0))))/10</f>
        <v>61.9666666666667</v>
      </c>
      <c r="K23" s="3" t="str">
        <f aca="false">IF(J23&lt;40,"Poor",IF(J23&lt;55,"Basic",IF(J23&lt;70,"Solid",IF(J23&lt;85,"Strong",IF(J23&lt;95,"Excellent","Exceptional")))))</f>
        <v>Solid</v>
      </c>
      <c r="L23" s="3" t="s">
        <v>34</v>
      </c>
      <c r="M23" s="6" t="n">
        <f aca="false">(Weights!$C$4*IF(Weights!$D$4=0,$E23,INDEX(Resources!$B$2:$F$10,MATCH(CHOOSE(Weights!$D$4,$B23,$C23,$D23),Resources!$A$2:$A$10,0),MATCH(Weights!$E$4,Resources!$B$1:$F$1,0)))+Weights!$F$4*IF(Weights!$G$4=0,$E23,INDEX(Resources!$B$2:$F$10,MATCH(CHOOSE(Weights!$G$4,$B23,$C23,$D23),Resources!$A$2:$A$10,0),MATCH(Weights!$H$4,Resources!$B$1:$F$1,0)))+Weights!$I$4*IF(Weights!$J$4=0,$E23,INDEX(Resources!$B$2:$F$10,MATCH(CHOOSE(Weights!$J$4,$B23,$C23,$D23),Resources!$A$2:$A$10,0),MATCH(Weights!$K$4,Resources!$B$1:$F$1,0))))/10</f>
        <v>84.4666666666667</v>
      </c>
      <c r="N23" s="3" t="str">
        <f aca="false">IF(M23&lt;40,"Poor",IF(M23&lt;55,"Basic",IF(M23&lt;70,"Solid",IF(M23&lt;85,"Strong",IF(M23&lt;95,"Excellent","Exceptional")))))</f>
        <v>Strong</v>
      </c>
      <c r="O23" s="6" t="n">
        <f aca="false">MIN(100,MAX(G23,J23,M23)*(1+0.05*3))</f>
        <v>97.1366666666667</v>
      </c>
      <c r="P23" s="3" t="str">
        <f aca="false">IF(O23&lt;40,"Poor",IF(O23&lt;55,"Basic",IF(O23&lt;70,"Solid",IF(O23&lt;85,"Strong",IF(O23&lt;95,"Excellent","Exceptional")))))</f>
        <v>Exceptional</v>
      </c>
    </row>
    <row r="24" customFormat="false" ht="15" hidden="false" customHeight="true" outlineLevel="0" collapsed="false">
      <c r="A24" s="3" t="s">
        <v>31</v>
      </c>
      <c r="B24" s="4" t="s">
        <v>10</v>
      </c>
      <c r="C24" s="4" t="s">
        <v>13</v>
      </c>
      <c r="D24" s="4" t="s">
        <v>17</v>
      </c>
      <c r="E24" s="3" t="n">
        <f aca="false">AVERAGE(INDEX(Resources!$B$2:$F$10,MATCH($B24,Resources!$A$2:$A$10,0),1),INDEX(Resources!$B$2:$F$10,MATCH($C24,Resources!$A$2:$A$10,0),1),INDEX(Resources!$B$2:$F$10,MATCH($D24,Resources!$A$2:$A$10,0),1))</f>
        <v>673.333333333333</v>
      </c>
      <c r="F24" s="3" t="s">
        <v>32</v>
      </c>
      <c r="G24" s="6" t="n">
        <f aca="false">(Weights!$C$2*IF(Weights!$D$2=0,$E24,INDEX(Resources!$B$2:$F$10,MATCH(CHOOSE(Weights!$D$2,$B24,$C24,$D24),Resources!$A$2:$A$10,0),MATCH(Weights!$E$2,Resources!$B$1:$F$1,0)))+Weights!$F$2*IF(Weights!$G$2=0,$E24,INDEX(Resources!$B$2:$F$10,MATCH(CHOOSE(Weights!$G$2,$B24,$C24,$D24),Resources!$A$2:$A$10,0),MATCH(Weights!$H$2,Resources!$B$1:$F$1,0)))+Weights!$I$2*IF(Weights!$J$2=0,$E24,INDEX(Resources!$B$2:$F$10,MATCH(CHOOSE(Weights!$J$2,$B24,$C24,$D24),Resources!$A$2:$A$10,0),MATCH(Weights!$K$2,Resources!$B$1:$F$1,0))))/10</f>
        <v>62.8666666666667</v>
      </c>
      <c r="H24" s="3" t="str">
        <f aca="false">IF(G24&lt;40,"Poor",IF(G24&lt;55,"Basic",IF(G24&lt;70,"Solid",IF(G24&lt;85,"Strong",IF(G24&lt;95,"Excellent","Exceptional")))))</f>
        <v>Solid</v>
      </c>
      <c r="I24" s="3" t="s">
        <v>33</v>
      </c>
      <c r="J24" s="6" t="n">
        <f aca="false">(Weights!$C$3*IF(Weights!$D$3=0,$E24,INDEX(Resources!$B$2:$F$10,MATCH(CHOOSE(Weights!$D$3,$B24,$C24,$D24),Resources!$A$2:$A$10,0),MATCH(Weights!$E$3,Resources!$B$1:$F$1,0)))+Weights!$F$3*IF(Weights!$G$3=0,$E24,INDEX(Resources!$B$2:$F$10,MATCH(CHOOSE(Weights!$G$3,$B24,$C24,$D24),Resources!$A$2:$A$10,0),MATCH(Weights!$H$3,Resources!$B$1:$F$1,0)))+Weights!$I$3*IF(Weights!$J$3=0,$E24,INDEX(Resources!$B$2:$F$10,MATCH(CHOOSE(Weights!$J$3,$B24,$C24,$D24),Resources!$A$2:$A$10,0),MATCH(Weights!$K$3,Resources!$B$1:$F$1,0))))/10</f>
        <v>41.2666666666667</v>
      </c>
      <c r="K24" s="3" t="str">
        <f aca="false">IF(J24&lt;40,"Poor",IF(J24&lt;55,"Basic",IF(J24&lt;70,"Solid",IF(J24&lt;85,"Strong",IF(J24&lt;95,"Excellent","Exceptional")))))</f>
        <v>Basic</v>
      </c>
      <c r="L24" s="3" t="s">
        <v>34</v>
      </c>
      <c r="M24" s="6" t="n">
        <f aca="false">(Weights!$C$4*IF(Weights!$D$4=0,$E24,INDEX(Resources!$B$2:$F$10,MATCH(CHOOSE(Weights!$D$4,$B24,$C24,$D24),Resources!$A$2:$A$10,0),MATCH(Weights!$E$4,Resources!$B$1:$F$1,0)))+Weights!$F$4*IF(Weights!$G$4=0,$E24,INDEX(Resources!$B$2:$F$10,MATCH(CHOOSE(Weights!$G$4,$B24,$C24,$D24),Resources!$A$2:$A$10,0),MATCH(Weights!$H$4,Resources!$B$1:$F$1,0)))+Weights!$I$4*IF(Weights!$J$4=0,$E24,INDEX(Resources!$B$2:$F$10,MATCH(CHOOSE(Weights!$J$4,$B24,$C24,$D24),Resources!$A$2:$A$10,0),MATCH(Weights!$K$4,Resources!$B$1:$F$1,0))))/10</f>
        <v>53.7166666666667</v>
      </c>
      <c r="N24" s="3" t="str">
        <f aca="false">IF(M24&lt;40,"Poor",IF(M24&lt;55,"Basic",IF(M24&lt;70,"Solid",IF(M24&lt;85,"Strong",IF(M24&lt;95,"Excellent","Exceptional")))))</f>
        <v>Basic</v>
      </c>
      <c r="O24" s="6" t="n">
        <f aca="false">MIN(100,MAX(G24,J24,M24)*(1+0.05*3))</f>
        <v>72.2966666666667</v>
      </c>
      <c r="P24" s="3" t="str">
        <f aca="false">IF(O24&lt;40,"Poor",IF(O24&lt;55,"Basic",IF(O24&lt;70,"Solid",IF(O24&lt;85,"Strong",IF(O24&lt;95,"Excellent","Exceptional")))))</f>
        <v>Strong</v>
      </c>
    </row>
    <row r="25" customFormat="false" ht="15" hidden="false" customHeight="true" outlineLevel="0" collapsed="false">
      <c r="A25" s="3" t="s">
        <v>31</v>
      </c>
      <c r="B25" s="4" t="s">
        <v>10</v>
      </c>
      <c r="C25" s="4" t="s">
        <v>13</v>
      </c>
      <c r="D25" s="4" t="s">
        <v>18</v>
      </c>
      <c r="E25" s="3" t="n">
        <f aca="false">AVERAGE(INDEX(Resources!$B$2:$F$10,MATCH($B25,Resources!$A$2:$A$10,0),1),INDEX(Resources!$B$2:$F$10,MATCH($C25,Resources!$A$2:$A$10,0),1),INDEX(Resources!$B$2:$F$10,MATCH($D25,Resources!$A$2:$A$10,0),1))</f>
        <v>743.333333333333</v>
      </c>
      <c r="F25" s="3" t="s">
        <v>32</v>
      </c>
      <c r="G25" s="6" t="n">
        <f aca="false">(Weights!$C$2*IF(Weights!$D$2=0,$E25,INDEX(Resources!$B$2:$F$10,MATCH(CHOOSE(Weights!$D$2,$B25,$C25,$D25),Resources!$A$2:$A$10,0),MATCH(Weights!$E$2,Resources!$B$1:$F$1,0)))+Weights!$F$2*IF(Weights!$G$2=0,$E25,INDEX(Resources!$B$2:$F$10,MATCH(CHOOSE(Weights!$G$2,$B25,$C25,$D25),Resources!$A$2:$A$10,0),MATCH(Weights!$H$2,Resources!$B$1:$F$1,0)))+Weights!$I$2*IF(Weights!$J$2=0,$E25,INDEX(Resources!$B$2:$F$10,MATCH(CHOOSE(Weights!$J$2,$B25,$C25,$D25),Resources!$A$2:$A$10,0),MATCH(Weights!$K$2,Resources!$B$1:$F$1,0))))/10</f>
        <v>64.2666666666667</v>
      </c>
      <c r="H25" s="3" t="str">
        <f aca="false">IF(G25&lt;40,"Poor",IF(G25&lt;55,"Basic",IF(G25&lt;70,"Solid",IF(G25&lt;85,"Strong",IF(G25&lt;95,"Excellent","Exceptional")))))</f>
        <v>Solid</v>
      </c>
      <c r="I25" s="3" t="s">
        <v>33</v>
      </c>
      <c r="J25" s="6" t="n">
        <f aca="false">(Weights!$C$3*IF(Weights!$D$3=0,$E25,INDEX(Resources!$B$2:$F$10,MATCH(CHOOSE(Weights!$D$3,$B25,$C25,$D25),Resources!$A$2:$A$10,0),MATCH(Weights!$E$3,Resources!$B$1:$F$1,0)))+Weights!$F$3*IF(Weights!$G$3=0,$E25,INDEX(Resources!$B$2:$F$10,MATCH(CHOOSE(Weights!$G$3,$B25,$C25,$D25),Resources!$A$2:$A$10,0),MATCH(Weights!$H$3,Resources!$B$1:$F$1,0)))+Weights!$I$3*IF(Weights!$J$3=0,$E25,INDEX(Resources!$B$2:$F$10,MATCH(CHOOSE(Weights!$J$3,$B25,$C25,$D25),Resources!$A$2:$A$10,0),MATCH(Weights!$K$3,Resources!$B$1:$F$1,0))))/10</f>
        <v>55.5666666666667</v>
      </c>
      <c r="K25" s="3" t="str">
        <f aca="false">IF(J25&lt;40,"Poor",IF(J25&lt;55,"Basic",IF(J25&lt;70,"Solid",IF(J25&lt;85,"Strong",IF(J25&lt;95,"Excellent","Exceptional")))))</f>
        <v>Solid</v>
      </c>
      <c r="L25" s="3" t="s">
        <v>34</v>
      </c>
      <c r="M25" s="6" t="n">
        <f aca="false">(Weights!$C$4*IF(Weights!$D$4=0,$E25,INDEX(Resources!$B$2:$F$10,MATCH(CHOOSE(Weights!$D$4,$B25,$C25,$D25),Resources!$A$2:$A$10,0),MATCH(Weights!$E$4,Resources!$B$1:$F$1,0)))+Weights!$F$4*IF(Weights!$G$4=0,$E25,INDEX(Resources!$B$2:$F$10,MATCH(CHOOSE(Weights!$G$4,$B25,$C25,$D25),Resources!$A$2:$A$10,0),MATCH(Weights!$H$4,Resources!$B$1:$F$1,0)))+Weights!$I$4*IF(Weights!$J$4=0,$E25,INDEX(Resources!$B$2:$F$10,MATCH(CHOOSE(Weights!$J$4,$B25,$C25,$D25),Resources!$A$2:$A$10,0),MATCH(Weights!$K$4,Resources!$B$1:$F$1,0))))/10</f>
        <v>74.4666666666667</v>
      </c>
      <c r="N25" s="3" t="str">
        <f aca="false">IF(M25&lt;40,"Poor",IF(M25&lt;55,"Basic",IF(M25&lt;70,"Solid",IF(M25&lt;85,"Strong",IF(M25&lt;95,"Excellent","Exceptional")))))</f>
        <v>Strong</v>
      </c>
      <c r="O25" s="6" t="n">
        <f aca="false">MIN(100,MAX(G25,J25,M25)*(1+0.05*3))</f>
        <v>85.6366666666667</v>
      </c>
      <c r="P25" s="3" t="str">
        <f aca="false">IF(O25&lt;40,"Poor",IF(O25&lt;55,"Basic",IF(O25&lt;70,"Solid",IF(O25&lt;85,"Strong",IF(O25&lt;95,"Excellent","Exceptional")))))</f>
        <v>Excellent</v>
      </c>
    </row>
    <row r="26" customFormat="false" ht="15" hidden="false" customHeight="true" outlineLevel="0" collapsed="false">
      <c r="A26" s="3" t="s">
        <v>31</v>
      </c>
      <c r="B26" s="4" t="s">
        <v>10</v>
      </c>
      <c r="C26" s="4" t="s">
        <v>14</v>
      </c>
      <c r="D26" s="4" t="s">
        <v>15</v>
      </c>
      <c r="E26" s="3" t="n">
        <f aca="false">AVERAGE(INDEX(Resources!$B$2:$F$10,MATCH($B26,Resources!$A$2:$A$10,0),1),INDEX(Resources!$B$2:$F$10,MATCH($C26,Resources!$A$2:$A$10,0),1),INDEX(Resources!$B$2:$F$10,MATCH($D26,Resources!$A$2:$A$10,0),1))</f>
        <v>616.666666666667</v>
      </c>
      <c r="F26" s="3" t="s">
        <v>32</v>
      </c>
      <c r="G26" s="6" t="n">
        <f aca="false">(Weights!$C$2*IF(Weights!$D$2=0,$E26,INDEX(Resources!$B$2:$F$10,MATCH(CHOOSE(Weights!$D$2,$B26,$C26,$D26),Resources!$A$2:$A$10,0),MATCH(Weights!$E$2,Resources!$B$1:$F$1,0)))+Weights!$F$2*IF(Weights!$G$2=0,$E26,INDEX(Resources!$B$2:$F$10,MATCH(CHOOSE(Weights!$G$2,$B26,$C26,$D26),Resources!$A$2:$A$10,0),MATCH(Weights!$H$2,Resources!$B$1:$F$1,0)))+Weights!$I$2*IF(Weights!$J$2=0,$E26,INDEX(Resources!$B$2:$F$10,MATCH(CHOOSE(Weights!$J$2,$B26,$C26,$D26),Resources!$A$2:$A$10,0),MATCH(Weights!$K$2,Resources!$B$1:$F$1,0))))/10</f>
        <v>53.0333333333333</v>
      </c>
      <c r="H26" s="3" t="str">
        <f aca="false">IF(G26&lt;40,"Poor",IF(G26&lt;55,"Basic",IF(G26&lt;70,"Solid",IF(G26&lt;85,"Strong",IF(G26&lt;95,"Excellent","Exceptional")))))</f>
        <v>Basic</v>
      </c>
      <c r="I26" s="3" t="s">
        <v>33</v>
      </c>
      <c r="J26" s="6" t="n">
        <f aca="false">(Weights!$C$3*IF(Weights!$D$3=0,$E26,INDEX(Resources!$B$2:$F$10,MATCH(CHOOSE(Weights!$D$3,$B26,$C26,$D26),Resources!$A$2:$A$10,0),MATCH(Weights!$E$3,Resources!$B$1:$F$1,0)))+Weights!$F$3*IF(Weights!$G$3=0,$E26,INDEX(Resources!$B$2:$F$10,MATCH(CHOOSE(Weights!$G$3,$B26,$C26,$D26),Resources!$A$2:$A$10,0),MATCH(Weights!$H$3,Resources!$B$1:$F$1,0)))+Weights!$I$3*IF(Weights!$J$3=0,$E26,INDEX(Resources!$B$2:$F$10,MATCH(CHOOSE(Weights!$J$3,$B26,$C26,$D26),Resources!$A$2:$A$10,0),MATCH(Weights!$K$3,Resources!$B$1:$F$1,0))))/10</f>
        <v>60.2333333333333</v>
      </c>
      <c r="K26" s="3" t="str">
        <f aca="false">IF(J26&lt;40,"Poor",IF(J26&lt;55,"Basic",IF(J26&lt;70,"Solid",IF(J26&lt;85,"Strong",IF(J26&lt;95,"Excellent","Exceptional")))))</f>
        <v>Solid</v>
      </c>
      <c r="L26" s="3" t="s">
        <v>34</v>
      </c>
      <c r="M26" s="6" t="n">
        <f aca="false">(Weights!$C$4*IF(Weights!$D$4=0,$E26,INDEX(Resources!$B$2:$F$10,MATCH(CHOOSE(Weights!$D$4,$B26,$C26,$D26),Resources!$A$2:$A$10,0),MATCH(Weights!$E$4,Resources!$B$1:$F$1,0)))+Weights!$F$4*IF(Weights!$G$4=0,$E26,INDEX(Resources!$B$2:$F$10,MATCH(CHOOSE(Weights!$G$4,$B26,$C26,$D26),Resources!$A$2:$A$10,0),MATCH(Weights!$H$4,Resources!$B$1:$F$1,0)))+Weights!$I$4*IF(Weights!$J$4=0,$E26,INDEX(Resources!$B$2:$F$10,MATCH(CHOOSE(Weights!$J$4,$B26,$C26,$D26),Resources!$A$2:$A$10,0),MATCH(Weights!$K$4,Resources!$B$1:$F$1,0))))/10</f>
        <v>82.7333333333333</v>
      </c>
      <c r="N26" s="3" t="str">
        <f aca="false">IF(M26&lt;40,"Poor",IF(M26&lt;55,"Basic",IF(M26&lt;70,"Solid",IF(M26&lt;85,"Strong",IF(M26&lt;95,"Excellent","Exceptional")))))</f>
        <v>Strong</v>
      </c>
      <c r="O26" s="6" t="n">
        <f aca="false">MIN(100,MAX(G26,J26,M26)*(1+0.05*3))</f>
        <v>95.1433333333333</v>
      </c>
      <c r="P26" s="3" t="str">
        <f aca="false">IF(O26&lt;40,"Poor",IF(O26&lt;55,"Basic",IF(O26&lt;70,"Solid",IF(O26&lt;85,"Strong",IF(O26&lt;95,"Excellent","Exceptional")))))</f>
        <v>Exceptional</v>
      </c>
    </row>
    <row r="27" customFormat="false" ht="15" hidden="false" customHeight="true" outlineLevel="0" collapsed="false">
      <c r="A27" s="3" t="s">
        <v>31</v>
      </c>
      <c r="B27" s="4" t="s">
        <v>10</v>
      </c>
      <c r="C27" s="4" t="s">
        <v>14</v>
      </c>
      <c r="D27" s="4" t="s">
        <v>17</v>
      </c>
      <c r="E27" s="3" t="n">
        <f aca="false">AVERAGE(INDEX(Resources!$B$2:$F$10,MATCH($B27,Resources!$A$2:$A$10,0),1),INDEX(Resources!$B$2:$F$10,MATCH($C27,Resources!$A$2:$A$10,0),1),INDEX(Resources!$B$2:$F$10,MATCH($D27,Resources!$A$2:$A$10,0),1))</f>
        <v>586.666666666667</v>
      </c>
      <c r="F27" s="3" t="s">
        <v>32</v>
      </c>
      <c r="G27" s="6" t="n">
        <f aca="false">(Weights!$C$2*IF(Weights!$D$2=0,$E27,INDEX(Resources!$B$2:$F$10,MATCH(CHOOSE(Weights!$D$2,$B27,$C27,$D27),Resources!$A$2:$A$10,0),MATCH(Weights!$E$2,Resources!$B$1:$F$1,0)))+Weights!$F$2*IF(Weights!$G$2=0,$E27,INDEX(Resources!$B$2:$F$10,MATCH(CHOOSE(Weights!$G$2,$B27,$C27,$D27),Resources!$A$2:$A$10,0),MATCH(Weights!$H$2,Resources!$B$1:$F$1,0)))+Weights!$I$2*IF(Weights!$J$2=0,$E27,INDEX(Resources!$B$2:$F$10,MATCH(CHOOSE(Weights!$J$2,$B27,$C27,$D27),Resources!$A$2:$A$10,0),MATCH(Weights!$K$2,Resources!$B$1:$F$1,0))))/10</f>
        <v>52.4333333333333</v>
      </c>
      <c r="H27" s="3" t="str">
        <f aca="false">IF(G27&lt;40,"Poor",IF(G27&lt;55,"Basic",IF(G27&lt;70,"Solid",IF(G27&lt;85,"Strong",IF(G27&lt;95,"Excellent","Exceptional")))))</f>
        <v>Basic</v>
      </c>
      <c r="I27" s="3" t="s">
        <v>33</v>
      </c>
      <c r="J27" s="6" t="n">
        <f aca="false">(Weights!$C$3*IF(Weights!$D$3=0,$E27,INDEX(Resources!$B$2:$F$10,MATCH(CHOOSE(Weights!$D$3,$B27,$C27,$D27),Resources!$A$2:$A$10,0),MATCH(Weights!$E$3,Resources!$B$1:$F$1,0)))+Weights!$F$3*IF(Weights!$G$3=0,$E27,INDEX(Resources!$B$2:$F$10,MATCH(CHOOSE(Weights!$G$3,$B27,$C27,$D27),Resources!$A$2:$A$10,0),MATCH(Weights!$H$3,Resources!$B$1:$F$1,0)))+Weights!$I$3*IF(Weights!$J$3=0,$E27,INDEX(Resources!$B$2:$F$10,MATCH(CHOOSE(Weights!$J$3,$B27,$C27,$D27),Resources!$A$2:$A$10,0),MATCH(Weights!$K$3,Resources!$B$1:$F$1,0))))/10</f>
        <v>39.5333333333333</v>
      </c>
      <c r="K27" s="3" t="str">
        <f aca="false">IF(J27&lt;40,"Poor",IF(J27&lt;55,"Basic",IF(J27&lt;70,"Solid",IF(J27&lt;85,"Strong",IF(J27&lt;95,"Excellent","Exceptional")))))</f>
        <v>Poor</v>
      </c>
      <c r="L27" s="3" t="s">
        <v>34</v>
      </c>
      <c r="M27" s="6" t="n">
        <f aca="false">(Weights!$C$4*IF(Weights!$D$4=0,$E27,INDEX(Resources!$B$2:$F$10,MATCH(CHOOSE(Weights!$D$4,$B27,$C27,$D27),Resources!$A$2:$A$10,0),MATCH(Weights!$E$4,Resources!$B$1:$F$1,0)))+Weights!$F$4*IF(Weights!$G$4=0,$E27,INDEX(Resources!$B$2:$F$10,MATCH(CHOOSE(Weights!$G$4,$B27,$C27,$D27),Resources!$A$2:$A$10,0),MATCH(Weights!$H$4,Resources!$B$1:$F$1,0)))+Weights!$I$4*IF(Weights!$J$4=0,$E27,INDEX(Resources!$B$2:$F$10,MATCH(CHOOSE(Weights!$J$4,$B27,$C27,$D27),Resources!$A$2:$A$10,0),MATCH(Weights!$K$4,Resources!$B$1:$F$1,0))))/10</f>
        <v>51.9833333333333</v>
      </c>
      <c r="N27" s="3" t="str">
        <f aca="false">IF(M27&lt;40,"Poor",IF(M27&lt;55,"Basic",IF(M27&lt;70,"Solid",IF(M27&lt;85,"Strong",IF(M27&lt;95,"Excellent","Exceptional")))))</f>
        <v>Basic</v>
      </c>
      <c r="O27" s="6" t="n">
        <f aca="false">MIN(100,MAX(G27,J27,M27)*(1+0.05*3))</f>
        <v>60.2983333333333</v>
      </c>
      <c r="P27" s="3" t="str">
        <f aca="false">IF(O27&lt;40,"Poor",IF(O27&lt;55,"Basic",IF(O27&lt;70,"Solid",IF(O27&lt;85,"Strong",IF(O27&lt;95,"Excellent","Exceptional")))))</f>
        <v>Solid</v>
      </c>
    </row>
    <row r="28" customFormat="false" ht="15" hidden="false" customHeight="true" outlineLevel="0" collapsed="false">
      <c r="A28" s="3" t="s">
        <v>31</v>
      </c>
      <c r="B28" s="4" t="s">
        <v>10</v>
      </c>
      <c r="C28" s="4" t="s">
        <v>14</v>
      </c>
      <c r="D28" s="4" t="s">
        <v>18</v>
      </c>
      <c r="E28" s="3" t="n">
        <f aca="false">AVERAGE(INDEX(Resources!$B$2:$F$10,MATCH($B28,Resources!$A$2:$A$10,0),1),INDEX(Resources!$B$2:$F$10,MATCH($C28,Resources!$A$2:$A$10,0),1),INDEX(Resources!$B$2:$F$10,MATCH($D28,Resources!$A$2:$A$10,0),1))</f>
        <v>656.666666666667</v>
      </c>
      <c r="F28" s="3" t="s">
        <v>32</v>
      </c>
      <c r="G28" s="6" t="n">
        <f aca="false">(Weights!$C$2*IF(Weights!$D$2=0,$E28,INDEX(Resources!$B$2:$F$10,MATCH(CHOOSE(Weights!$D$2,$B28,$C28,$D28),Resources!$A$2:$A$10,0),MATCH(Weights!$E$2,Resources!$B$1:$F$1,0)))+Weights!$F$2*IF(Weights!$G$2=0,$E28,INDEX(Resources!$B$2:$F$10,MATCH(CHOOSE(Weights!$G$2,$B28,$C28,$D28),Resources!$A$2:$A$10,0),MATCH(Weights!$H$2,Resources!$B$1:$F$1,0)))+Weights!$I$2*IF(Weights!$J$2=0,$E28,INDEX(Resources!$B$2:$F$10,MATCH(CHOOSE(Weights!$J$2,$B28,$C28,$D28),Resources!$A$2:$A$10,0),MATCH(Weights!$K$2,Resources!$B$1:$F$1,0))))/10</f>
        <v>53.8333333333333</v>
      </c>
      <c r="H28" s="3" t="str">
        <f aca="false">IF(G28&lt;40,"Poor",IF(G28&lt;55,"Basic",IF(G28&lt;70,"Solid",IF(G28&lt;85,"Strong",IF(G28&lt;95,"Excellent","Exceptional")))))</f>
        <v>Basic</v>
      </c>
      <c r="I28" s="3" t="s">
        <v>33</v>
      </c>
      <c r="J28" s="6" t="n">
        <f aca="false">(Weights!$C$3*IF(Weights!$D$3=0,$E28,INDEX(Resources!$B$2:$F$10,MATCH(CHOOSE(Weights!$D$3,$B28,$C28,$D28),Resources!$A$2:$A$10,0),MATCH(Weights!$E$3,Resources!$B$1:$F$1,0)))+Weights!$F$3*IF(Weights!$G$3=0,$E28,INDEX(Resources!$B$2:$F$10,MATCH(CHOOSE(Weights!$G$3,$B28,$C28,$D28),Resources!$A$2:$A$10,0),MATCH(Weights!$H$3,Resources!$B$1:$F$1,0)))+Weights!$I$3*IF(Weights!$J$3=0,$E28,INDEX(Resources!$B$2:$F$10,MATCH(CHOOSE(Weights!$J$3,$B28,$C28,$D28),Resources!$A$2:$A$10,0),MATCH(Weights!$K$3,Resources!$B$1:$F$1,0))))/10</f>
        <v>53.8333333333333</v>
      </c>
      <c r="K28" s="3" t="str">
        <f aca="false">IF(J28&lt;40,"Poor",IF(J28&lt;55,"Basic",IF(J28&lt;70,"Solid",IF(J28&lt;85,"Strong",IF(J28&lt;95,"Excellent","Exceptional")))))</f>
        <v>Basic</v>
      </c>
      <c r="L28" s="3" t="s">
        <v>34</v>
      </c>
      <c r="M28" s="6" t="n">
        <f aca="false">(Weights!$C$4*IF(Weights!$D$4=0,$E28,INDEX(Resources!$B$2:$F$10,MATCH(CHOOSE(Weights!$D$4,$B28,$C28,$D28),Resources!$A$2:$A$10,0),MATCH(Weights!$E$4,Resources!$B$1:$F$1,0)))+Weights!$F$4*IF(Weights!$G$4=0,$E28,INDEX(Resources!$B$2:$F$10,MATCH(CHOOSE(Weights!$G$4,$B28,$C28,$D28),Resources!$A$2:$A$10,0),MATCH(Weights!$H$4,Resources!$B$1:$F$1,0)))+Weights!$I$4*IF(Weights!$J$4=0,$E28,INDEX(Resources!$B$2:$F$10,MATCH(CHOOSE(Weights!$J$4,$B28,$C28,$D28),Resources!$A$2:$A$10,0),MATCH(Weights!$K$4,Resources!$B$1:$F$1,0))))/10</f>
        <v>72.7333333333333</v>
      </c>
      <c r="N28" s="3" t="str">
        <f aca="false">IF(M28&lt;40,"Poor",IF(M28&lt;55,"Basic",IF(M28&lt;70,"Solid",IF(M28&lt;85,"Strong",IF(M28&lt;95,"Excellent","Exceptional")))))</f>
        <v>Strong</v>
      </c>
      <c r="O28" s="6" t="n">
        <f aca="false">MIN(100,MAX(G28,J28,M28)*(1+0.05*3))</f>
        <v>83.6433333333333</v>
      </c>
      <c r="P28" s="3" t="str">
        <f aca="false">IF(O28&lt;40,"Poor",IF(O28&lt;55,"Basic",IF(O28&lt;70,"Solid",IF(O28&lt;85,"Strong",IF(O28&lt;95,"Excellent","Exceptional")))))</f>
        <v>Strong</v>
      </c>
    </row>
    <row r="29" customFormat="false" ht="15" hidden="false" customHeight="true" outlineLevel="0" collapsed="false">
      <c r="A29" s="3" t="s">
        <v>35</v>
      </c>
      <c r="B29" s="4" t="s">
        <v>11</v>
      </c>
      <c r="C29" s="4" t="s">
        <v>7</v>
      </c>
      <c r="D29" s="4" t="s">
        <v>15</v>
      </c>
      <c r="E29" s="3" t="n">
        <f aca="false">AVERAGE(INDEX(Resources!$B$2:$F$10,MATCH($B29,Resources!$A$2:$A$10,0),1),INDEX(Resources!$B$2:$F$10,MATCH($C29,Resources!$A$2:$A$10,0),1),INDEX(Resources!$B$2:$F$10,MATCH($D29,Resources!$A$2:$A$10,0),1))</f>
        <v>513.333333333333</v>
      </c>
      <c r="F29" s="3" t="s">
        <v>36</v>
      </c>
      <c r="G29" s="6" t="n">
        <f aca="false">(Weights!$C$5*IF(Weights!$D$5=0,$E29,INDEX(Resources!$B$2:$F$10,MATCH(CHOOSE(Weights!$D$5,$B29,$C29,$D29),Resources!$A$2:$A$10,0),MATCH(Weights!$E$5,Resources!$B$1:$F$1,0)))+Weights!$F$5*IF(Weights!$G$5=0,$E29,INDEX(Resources!$B$2:$F$10,MATCH(CHOOSE(Weights!$G$5,$B29,$C29,$D29),Resources!$A$2:$A$10,0),MATCH(Weights!$H$5,Resources!$B$1:$F$1,0)))+Weights!$I$5*IF(Weights!$J$5=0,$E29,INDEX(Resources!$B$2:$F$10,MATCH(CHOOSE(Weights!$J$5,$B29,$C29,$D29),Resources!$A$2:$A$10,0),MATCH(Weights!$K$5,Resources!$B$1:$F$1,0))))/10</f>
        <v>57.3166666666667</v>
      </c>
      <c r="H29" s="3" t="str">
        <f aca="false">IF(G29&lt;40,"Poor",IF(G29&lt;55,"Basic",IF(G29&lt;70,"Solid",IF(G29&lt;85,"Strong",IF(G29&lt;95,"Excellent","Exceptional")))))</f>
        <v>Solid</v>
      </c>
      <c r="I29" s="3" t="s">
        <v>37</v>
      </c>
      <c r="J29" s="6" t="n">
        <f aca="false">(Weights!$C$6*IF(Weights!$D$6=0,$E29,INDEX(Resources!$B$2:$F$10,MATCH(CHOOSE(Weights!$D$6,$B29,$C29,$D29),Resources!$A$2:$A$10,0),MATCH(Weights!$E$6,Resources!$B$1:$F$1,0)))+Weights!$F$6*IF(Weights!$G$6=0,$E29,INDEX(Resources!$B$2:$F$10,MATCH(CHOOSE(Weights!$G$6,$B29,$C29,$D29),Resources!$A$2:$A$10,0),MATCH(Weights!$H$6,Resources!$B$1:$F$1,0)))+Weights!$I$6*IF(Weights!$J$6=0,$E29,INDEX(Resources!$B$2:$F$10,MATCH(CHOOSE(Weights!$J$6,$B29,$C29,$D29),Resources!$A$2:$A$10,0),MATCH(Weights!$K$6,Resources!$B$1:$F$1,0))))/10</f>
        <v>57.5333333333333</v>
      </c>
      <c r="K29" s="3" t="str">
        <f aca="false">IF(J29&lt;40,"Poor",IF(J29&lt;55,"Basic",IF(J29&lt;70,"Solid",IF(J29&lt;85,"Strong",IF(J29&lt;95,"Excellent","Exceptional")))))</f>
        <v>Solid</v>
      </c>
      <c r="L29" s="3" t="s">
        <v>38</v>
      </c>
      <c r="M29" s="6" t="n">
        <f aca="false">(Weights!$C$7*IF(Weights!$D$7=0,$E29,INDEX(Resources!$B$2:$F$10,MATCH(CHOOSE(Weights!$D$7,$B29,$C29,$D29),Resources!$A$2:$A$10,0),MATCH(Weights!$E$7,Resources!$B$1:$F$1,0)))+Weights!$F$7*IF(Weights!$G$7=0,$E29,INDEX(Resources!$B$2:$F$10,MATCH(CHOOSE(Weights!$G$7,$B29,$C29,$D29),Resources!$A$2:$A$10,0),MATCH(Weights!$H$7,Resources!$B$1:$F$1,0)))+Weights!$I$7*IF(Weights!$J$7=0,$E29,INDEX(Resources!$B$2:$F$10,MATCH(CHOOSE(Weights!$J$7,$B29,$C29,$D29),Resources!$A$2:$A$10,0),MATCH(Weights!$K$7,Resources!$B$1:$F$1,0))))/10</f>
        <v>63.5166666666667</v>
      </c>
      <c r="N29" s="3" t="str">
        <f aca="false">IF(M29&lt;40,"Poor",IF(M29&lt;55,"Basic",IF(M29&lt;70,"Solid",IF(M29&lt;85,"Strong",IF(M29&lt;95,"Excellent","Exceptional")))))</f>
        <v>Solid</v>
      </c>
      <c r="O29" s="6" t="n">
        <f aca="false">MIN(100,MAX(G29,J29,M29)*(1+0.05*3))</f>
        <v>73.0441666666667</v>
      </c>
      <c r="P29" s="3" t="str">
        <f aca="false">IF(O29&lt;40,"Poor",IF(O29&lt;55,"Basic",IF(O29&lt;70,"Solid",IF(O29&lt;85,"Strong",IF(O29&lt;95,"Excellent","Exceptional")))))</f>
        <v>Strong</v>
      </c>
    </row>
    <row r="30" customFormat="false" ht="15" hidden="false" customHeight="true" outlineLevel="0" collapsed="false">
      <c r="A30" s="3" t="s">
        <v>35</v>
      </c>
      <c r="B30" s="4" t="s">
        <v>11</v>
      </c>
      <c r="C30" s="4" t="s">
        <v>7</v>
      </c>
      <c r="D30" s="4" t="s">
        <v>17</v>
      </c>
      <c r="E30" s="3" t="n">
        <f aca="false">AVERAGE(INDEX(Resources!$B$2:$F$10,MATCH($B30,Resources!$A$2:$A$10,0),1),INDEX(Resources!$B$2:$F$10,MATCH($C30,Resources!$A$2:$A$10,0),1),INDEX(Resources!$B$2:$F$10,MATCH($D30,Resources!$A$2:$A$10,0),1))</f>
        <v>483.333333333333</v>
      </c>
      <c r="F30" s="3" t="s">
        <v>36</v>
      </c>
      <c r="G30" s="6" t="n">
        <f aca="false">(Weights!$C$5*IF(Weights!$D$5=0,$E30,INDEX(Resources!$B$2:$F$10,MATCH(CHOOSE(Weights!$D$5,$B30,$C30,$D30),Resources!$A$2:$A$10,0),MATCH(Weights!$E$5,Resources!$B$1:$F$1,0)))+Weights!$F$5*IF(Weights!$G$5=0,$E30,INDEX(Resources!$B$2:$F$10,MATCH(CHOOSE(Weights!$G$5,$B30,$C30,$D30),Resources!$A$2:$A$10,0),MATCH(Weights!$H$5,Resources!$B$1:$F$1,0)))+Weights!$I$5*IF(Weights!$J$5=0,$E30,INDEX(Resources!$B$2:$F$10,MATCH(CHOOSE(Weights!$J$5,$B30,$C30,$D30),Resources!$A$2:$A$10,0),MATCH(Weights!$K$5,Resources!$B$1:$F$1,0))))/10</f>
        <v>56.7166666666667</v>
      </c>
      <c r="H30" s="3" t="str">
        <f aca="false">IF(G30&lt;40,"Poor",IF(G30&lt;55,"Basic",IF(G30&lt;70,"Solid",IF(G30&lt;85,"Strong",IF(G30&lt;95,"Excellent","Exceptional")))))</f>
        <v>Solid</v>
      </c>
      <c r="I30" s="3" t="s">
        <v>37</v>
      </c>
      <c r="J30" s="6" t="n">
        <f aca="false">(Weights!$C$6*IF(Weights!$D$6=0,$E30,INDEX(Resources!$B$2:$F$10,MATCH(CHOOSE(Weights!$D$6,$B30,$C30,$D30),Resources!$A$2:$A$10,0),MATCH(Weights!$E$6,Resources!$B$1:$F$1,0)))+Weights!$F$6*IF(Weights!$G$6=0,$E30,INDEX(Resources!$B$2:$F$10,MATCH(CHOOSE(Weights!$G$6,$B30,$C30,$D30),Resources!$A$2:$A$10,0),MATCH(Weights!$H$6,Resources!$B$1:$F$1,0)))+Weights!$I$6*IF(Weights!$J$6=0,$E30,INDEX(Resources!$B$2:$F$10,MATCH(CHOOSE(Weights!$J$6,$B30,$C30,$D30),Resources!$A$2:$A$10,0),MATCH(Weights!$K$6,Resources!$B$1:$F$1,0))))/10</f>
        <v>56.7833333333333</v>
      </c>
      <c r="K30" s="3" t="str">
        <f aca="false">IF(J30&lt;40,"Poor",IF(J30&lt;55,"Basic",IF(J30&lt;70,"Solid",IF(J30&lt;85,"Strong",IF(J30&lt;95,"Excellent","Exceptional")))))</f>
        <v>Solid</v>
      </c>
      <c r="L30" s="3" t="s">
        <v>38</v>
      </c>
      <c r="M30" s="6" t="n">
        <f aca="false">(Weights!$C$7*IF(Weights!$D$7=0,$E30,INDEX(Resources!$B$2:$F$10,MATCH(CHOOSE(Weights!$D$7,$B30,$C30,$D30),Resources!$A$2:$A$10,0),MATCH(Weights!$E$7,Resources!$B$1:$F$1,0)))+Weights!$F$7*IF(Weights!$G$7=0,$E30,INDEX(Resources!$B$2:$F$10,MATCH(CHOOSE(Weights!$G$7,$B30,$C30,$D30),Resources!$A$2:$A$10,0),MATCH(Weights!$H$7,Resources!$B$1:$F$1,0)))+Weights!$I$7*IF(Weights!$J$7=0,$E30,INDEX(Resources!$B$2:$F$10,MATCH(CHOOSE(Weights!$J$7,$B30,$C30,$D30),Resources!$A$2:$A$10,0),MATCH(Weights!$K$7,Resources!$B$1:$F$1,0))))/10</f>
        <v>32.7666666666667</v>
      </c>
      <c r="N30" s="3" t="str">
        <f aca="false">IF(M30&lt;40,"Poor",IF(M30&lt;55,"Basic",IF(M30&lt;70,"Solid",IF(M30&lt;85,"Strong",IF(M30&lt;95,"Excellent","Exceptional")))))</f>
        <v>Poor</v>
      </c>
      <c r="O30" s="6" t="n">
        <f aca="false">MIN(100,MAX(G30,J30,M30)*(1+0.05*3))</f>
        <v>65.3008333333333</v>
      </c>
      <c r="P30" s="3" t="str">
        <f aca="false">IF(O30&lt;40,"Poor",IF(O30&lt;55,"Basic",IF(O30&lt;70,"Solid",IF(O30&lt;85,"Strong",IF(O30&lt;95,"Excellent","Exceptional")))))</f>
        <v>Solid</v>
      </c>
    </row>
    <row r="31" customFormat="false" ht="15" hidden="false" customHeight="true" outlineLevel="0" collapsed="false">
      <c r="A31" s="3" t="s">
        <v>35</v>
      </c>
      <c r="B31" s="4" t="s">
        <v>11</v>
      </c>
      <c r="C31" s="4" t="s">
        <v>7</v>
      </c>
      <c r="D31" s="4" t="s">
        <v>18</v>
      </c>
      <c r="E31" s="3" t="n">
        <f aca="false">AVERAGE(INDEX(Resources!$B$2:$F$10,MATCH($B31,Resources!$A$2:$A$10,0),1),INDEX(Resources!$B$2:$F$10,MATCH($C31,Resources!$A$2:$A$10,0),1),INDEX(Resources!$B$2:$F$10,MATCH($D31,Resources!$A$2:$A$10,0),1))</f>
        <v>553.333333333333</v>
      </c>
      <c r="F31" s="3" t="s">
        <v>36</v>
      </c>
      <c r="G31" s="6" t="n">
        <f aca="false">(Weights!$C$5*IF(Weights!$D$5=0,$E31,INDEX(Resources!$B$2:$F$10,MATCH(CHOOSE(Weights!$D$5,$B31,$C31,$D31),Resources!$A$2:$A$10,0),MATCH(Weights!$E$5,Resources!$B$1:$F$1,0)))+Weights!$F$5*IF(Weights!$G$5=0,$E31,INDEX(Resources!$B$2:$F$10,MATCH(CHOOSE(Weights!$G$5,$B31,$C31,$D31),Resources!$A$2:$A$10,0),MATCH(Weights!$H$5,Resources!$B$1:$F$1,0)))+Weights!$I$5*IF(Weights!$J$5=0,$E31,INDEX(Resources!$B$2:$F$10,MATCH(CHOOSE(Weights!$J$5,$B31,$C31,$D31),Resources!$A$2:$A$10,0),MATCH(Weights!$K$5,Resources!$B$1:$F$1,0))))/10</f>
        <v>58.1166666666667</v>
      </c>
      <c r="H31" s="3" t="str">
        <f aca="false">IF(G31&lt;40,"Poor",IF(G31&lt;55,"Basic",IF(G31&lt;70,"Solid",IF(G31&lt;85,"Strong",IF(G31&lt;95,"Excellent","Exceptional")))))</f>
        <v>Solid</v>
      </c>
      <c r="I31" s="3" t="s">
        <v>37</v>
      </c>
      <c r="J31" s="6" t="n">
        <f aca="false">(Weights!$C$6*IF(Weights!$D$6=0,$E31,INDEX(Resources!$B$2:$F$10,MATCH(CHOOSE(Weights!$D$6,$B31,$C31,$D31),Resources!$A$2:$A$10,0),MATCH(Weights!$E$6,Resources!$B$1:$F$1,0)))+Weights!$F$6*IF(Weights!$G$6=0,$E31,INDEX(Resources!$B$2:$F$10,MATCH(CHOOSE(Weights!$G$6,$B31,$C31,$D31),Resources!$A$2:$A$10,0),MATCH(Weights!$H$6,Resources!$B$1:$F$1,0)))+Weights!$I$6*IF(Weights!$J$6=0,$E31,INDEX(Resources!$B$2:$F$10,MATCH(CHOOSE(Weights!$J$6,$B31,$C31,$D31),Resources!$A$2:$A$10,0),MATCH(Weights!$K$6,Resources!$B$1:$F$1,0))))/10</f>
        <v>58.5333333333333</v>
      </c>
      <c r="K31" s="3" t="str">
        <f aca="false">IF(J31&lt;40,"Poor",IF(J31&lt;55,"Basic",IF(J31&lt;70,"Solid",IF(J31&lt;85,"Strong",IF(J31&lt;95,"Excellent","Exceptional")))))</f>
        <v>Solid</v>
      </c>
      <c r="L31" s="3" t="s">
        <v>38</v>
      </c>
      <c r="M31" s="6" t="n">
        <f aca="false">(Weights!$C$7*IF(Weights!$D$7=0,$E31,INDEX(Resources!$B$2:$F$10,MATCH(CHOOSE(Weights!$D$7,$B31,$C31,$D31),Resources!$A$2:$A$10,0),MATCH(Weights!$E$7,Resources!$B$1:$F$1,0)))+Weights!$F$7*IF(Weights!$G$7=0,$E31,INDEX(Resources!$B$2:$F$10,MATCH(CHOOSE(Weights!$G$7,$B31,$C31,$D31),Resources!$A$2:$A$10,0),MATCH(Weights!$H$7,Resources!$B$1:$F$1,0)))+Weights!$I$7*IF(Weights!$J$7=0,$E31,INDEX(Resources!$B$2:$F$10,MATCH(CHOOSE(Weights!$J$7,$B31,$C31,$D31),Resources!$A$2:$A$10,0),MATCH(Weights!$K$7,Resources!$B$1:$F$1,0))))/10</f>
        <v>53.5166666666667</v>
      </c>
      <c r="N31" s="3" t="str">
        <f aca="false">IF(M31&lt;40,"Poor",IF(M31&lt;55,"Basic",IF(M31&lt;70,"Solid",IF(M31&lt;85,"Strong",IF(M31&lt;95,"Excellent","Exceptional")))))</f>
        <v>Basic</v>
      </c>
      <c r="O31" s="6" t="n">
        <f aca="false">MIN(100,MAX(G31,J31,M31)*(1+0.05*3))</f>
        <v>67.3133333333333</v>
      </c>
      <c r="P31" s="3" t="str">
        <f aca="false">IF(O31&lt;40,"Poor",IF(O31&lt;55,"Basic",IF(O31&lt;70,"Solid",IF(O31&lt;85,"Strong",IF(O31&lt;95,"Excellent","Exceptional")))))</f>
        <v>Solid</v>
      </c>
    </row>
    <row r="32" customFormat="false" ht="15" hidden="false" customHeight="true" outlineLevel="0" collapsed="false">
      <c r="A32" s="3" t="s">
        <v>35</v>
      </c>
      <c r="B32" s="4" t="s">
        <v>11</v>
      </c>
      <c r="C32" s="4" t="s">
        <v>9</v>
      </c>
      <c r="D32" s="4" t="s">
        <v>15</v>
      </c>
      <c r="E32" s="3" t="n">
        <f aca="false">AVERAGE(INDEX(Resources!$B$2:$F$10,MATCH($B32,Resources!$A$2:$A$10,0),1),INDEX(Resources!$B$2:$F$10,MATCH($C32,Resources!$A$2:$A$10,0),1),INDEX(Resources!$B$2:$F$10,MATCH($D32,Resources!$A$2:$A$10,0),1))</f>
        <v>570</v>
      </c>
      <c r="F32" s="3" t="s">
        <v>36</v>
      </c>
      <c r="G32" s="6" t="n">
        <f aca="false">(Weights!$C$5*IF(Weights!$D$5=0,$E32,INDEX(Resources!$B$2:$F$10,MATCH(CHOOSE(Weights!$D$5,$B32,$C32,$D32),Resources!$A$2:$A$10,0),MATCH(Weights!$E$5,Resources!$B$1:$F$1,0)))+Weights!$F$5*IF(Weights!$G$5=0,$E32,INDEX(Resources!$B$2:$F$10,MATCH(CHOOSE(Weights!$G$5,$B32,$C32,$D32),Resources!$A$2:$A$10,0),MATCH(Weights!$H$5,Resources!$B$1:$F$1,0)))+Weights!$I$5*IF(Weights!$J$5=0,$E32,INDEX(Resources!$B$2:$F$10,MATCH(CHOOSE(Weights!$J$5,$B32,$C32,$D32),Resources!$A$2:$A$10,0),MATCH(Weights!$K$5,Resources!$B$1:$F$1,0))))/10</f>
        <v>65.45</v>
      </c>
      <c r="H32" s="3" t="str">
        <f aca="false">IF(G32&lt;40,"Poor",IF(G32&lt;55,"Basic",IF(G32&lt;70,"Solid",IF(G32&lt;85,"Strong",IF(G32&lt;95,"Excellent","Exceptional")))))</f>
        <v>Solid</v>
      </c>
      <c r="I32" s="3" t="s">
        <v>37</v>
      </c>
      <c r="J32" s="6" t="n">
        <f aca="false">(Weights!$C$6*IF(Weights!$D$6=0,$E32,INDEX(Resources!$B$2:$F$10,MATCH(CHOOSE(Weights!$D$6,$B32,$C32,$D32),Resources!$A$2:$A$10,0),MATCH(Weights!$E$6,Resources!$B$1:$F$1,0)))+Weights!$F$6*IF(Weights!$G$6=0,$E32,INDEX(Resources!$B$2:$F$10,MATCH(CHOOSE(Weights!$G$6,$B32,$C32,$D32),Resources!$A$2:$A$10,0),MATCH(Weights!$H$6,Resources!$B$1:$F$1,0)))+Weights!$I$6*IF(Weights!$J$6=0,$E32,INDEX(Resources!$B$2:$F$10,MATCH(CHOOSE(Weights!$J$6,$B32,$C32,$D32),Resources!$A$2:$A$10,0),MATCH(Weights!$K$6,Resources!$B$1:$F$1,0))))/10</f>
        <v>73.95</v>
      </c>
      <c r="K32" s="3" t="str">
        <f aca="false">IF(J32&lt;40,"Poor",IF(J32&lt;55,"Basic",IF(J32&lt;70,"Solid",IF(J32&lt;85,"Strong",IF(J32&lt;95,"Excellent","Exceptional")))))</f>
        <v>Strong</v>
      </c>
      <c r="L32" s="3" t="s">
        <v>38</v>
      </c>
      <c r="M32" s="6" t="n">
        <f aca="false">(Weights!$C$7*IF(Weights!$D$7=0,$E32,INDEX(Resources!$B$2:$F$10,MATCH(CHOOSE(Weights!$D$7,$B32,$C32,$D32),Resources!$A$2:$A$10,0),MATCH(Weights!$E$7,Resources!$B$1:$F$1,0)))+Weights!$F$7*IF(Weights!$G$7=0,$E32,INDEX(Resources!$B$2:$F$10,MATCH(CHOOSE(Weights!$G$7,$B32,$C32,$D32),Resources!$A$2:$A$10,0),MATCH(Weights!$H$7,Resources!$B$1:$F$1,0)))+Weights!$I$7*IF(Weights!$J$7=0,$E32,INDEX(Resources!$B$2:$F$10,MATCH(CHOOSE(Weights!$J$7,$B32,$C32,$D32),Resources!$A$2:$A$10,0),MATCH(Weights!$K$7,Resources!$B$1:$F$1,0))))/10</f>
        <v>64.65</v>
      </c>
      <c r="N32" s="3" t="str">
        <f aca="false">IF(M32&lt;40,"Poor",IF(M32&lt;55,"Basic",IF(M32&lt;70,"Solid",IF(M32&lt;85,"Strong",IF(M32&lt;95,"Excellent","Exceptional")))))</f>
        <v>Solid</v>
      </c>
      <c r="O32" s="6" t="n">
        <f aca="false">MIN(100,MAX(G32,J32,M32)*(1+0.05*3))</f>
        <v>85.0425</v>
      </c>
      <c r="P32" s="3" t="str">
        <f aca="false">IF(O32&lt;40,"Poor",IF(O32&lt;55,"Basic",IF(O32&lt;70,"Solid",IF(O32&lt;85,"Strong",IF(O32&lt;95,"Excellent","Exceptional")))))</f>
        <v>Excellent</v>
      </c>
    </row>
    <row r="33" customFormat="false" ht="15" hidden="false" customHeight="true" outlineLevel="0" collapsed="false">
      <c r="A33" s="3" t="s">
        <v>35</v>
      </c>
      <c r="B33" s="4" t="s">
        <v>11</v>
      </c>
      <c r="C33" s="4" t="s">
        <v>9</v>
      </c>
      <c r="D33" s="4" t="s">
        <v>17</v>
      </c>
      <c r="E33" s="3" t="n">
        <f aca="false">AVERAGE(INDEX(Resources!$B$2:$F$10,MATCH($B33,Resources!$A$2:$A$10,0),1),INDEX(Resources!$B$2:$F$10,MATCH($C33,Resources!$A$2:$A$10,0),1),INDEX(Resources!$B$2:$F$10,MATCH($D33,Resources!$A$2:$A$10,0),1))</f>
        <v>540</v>
      </c>
      <c r="F33" s="3" t="s">
        <v>36</v>
      </c>
      <c r="G33" s="6" t="n">
        <f aca="false">(Weights!$C$5*IF(Weights!$D$5=0,$E33,INDEX(Resources!$B$2:$F$10,MATCH(CHOOSE(Weights!$D$5,$B33,$C33,$D33),Resources!$A$2:$A$10,0),MATCH(Weights!$E$5,Resources!$B$1:$F$1,0)))+Weights!$F$5*IF(Weights!$G$5=0,$E33,INDEX(Resources!$B$2:$F$10,MATCH(CHOOSE(Weights!$G$5,$B33,$C33,$D33),Resources!$A$2:$A$10,0),MATCH(Weights!$H$5,Resources!$B$1:$F$1,0)))+Weights!$I$5*IF(Weights!$J$5=0,$E33,INDEX(Resources!$B$2:$F$10,MATCH(CHOOSE(Weights!$J$5,$B33,$C33,$D33),Resources!$A$2:$A$10,0),MATCH(Weights!$K$5,Resources!$B$1:$F$1,0))))/10</f>
        <v>64.85</v>
      </c>
      <c r="H33" s="3" t="str">
        <f aca="false">IF(G33&lt;40,"Poor",IF(G33&lt;55,"Basic",IF(G33&lt;70,"Solid",IF(G33&lt;85,"Strong",IF(G33&lt;95,"Excellent","Exceptional")))))</f>
        <v>Solid</v>
      </c>
      <c r="I33" s="3" t="s">
        <v>37</v>
      </c>
      <c r="J33" s="6" t="n">
        <f aca="false">(Weights!$C$6*IF(Weights!$D$6=0,$E33,INDEX(Resources!$B$2:$F$10,MATCH(CHOOSE(Weights!$D$6,$B33,$C33,$D33),Resources!$A$2:$A$10,0),MATCH(Weights!$E$6,Resources!$B$1:$F$1,0)))+Weights!$F$6*IF(Weights!$G$6=0,$E33,INDEX(Resources!$B$2:$F$10,MATCH(CHOOSE(Weights!$G$6,$B33,$C33,$D33),Resources!$A$2:$A$10,0),MATCH(Weights!$H$6,Resources!$B$1:$F$1,0)))+Weights!$I$6*IF(Weights!$J$6=0,$E33,INDEX(Resources!$B$2:$F$10,MATCH(CHOOSE(Weights!$J$6,$B33,$C33,$D33),Resources!$A$2:$A$10,0),MATCH(Weights!$K$6,Resources!$B$1:$F$1,0))))/10</f>
        <v>73.2</v>
      </c>
      <c r="K33" s="3" t="str">
        <f aca="false">IF(J33&lt;40,"Poor",IF(J33&lt;55,"Basic",IF(J33&lt;70,"Solid",IF(J33&lt;85,"Strong",IF(J33&lt;95,"Excellent","Exceptional")))))</f>
        <v>Strong</v>
      </c>
      <c r="L33" s="3" t="s">
        <v>38</v>
      </c>
      <c r="M33" s="6" t="n">
        <f aca="false">(Weights!$C$7*IF(Weights!$D$7=0,$E33,INDEX(Resources!$B$2:$F$10,MATCH(CHOOSE(Weights!$D$7,$B33,$C33,$D33),Resources!$A$2:$A$10,0),MATCH(Weights!$E$7,Resources!$B$1:$F$1,0)))+Weights!$F$7*IF(Weights!$G$7=0,$E33,INDEX(Resources!$B$2:$F$10,MATCH(CHOOSE(Weights!$G$7,$B33,$C33,$D33),Resources!$A$2:$A$10,0),MATCH(Weights!$H$7,Resources!$B$1:$F$1,0)))+Weights!$I$7*IF(Weights!$J$7=0,$E33,INDEX(Resources!$B$2:$F$10,MATCH(CHOOSE(Weights!$J$7,$B33,$C33,$D33),Resources!$A$2:$A$10,0),MATCH(Weights!$K$7,Resources!$B$1:$F$1,0))))/10</f>
        <v>33.9</v>
      </c>
      <c r="N33" s="3" t="str">
        <f aca="false">IF(M33&lt;40,"Poor",IF(M33&lt;55,"Basic",IF(M33&lt;70,"Solid",IF(M33&lt;85,"Strong",IF(M33&lt;95,"Excellent","Exceptional")))))</f>
        <v>Poor</v>
      </c>
      <c r="O33" s="6" t="n">
        <f aca="false">MIN(100,MAX(G33,J33,M33)*(1+0.05*3))</f>
        <v>84.18</v>
      </c>
      <c r="P33" s="3" t="str">
        <f aca="false">IF(O33&lt;40,"Poor",IF(O33&lt;55,"Basic",IF(O33&lt;70,"Solid",IF(O33&lt;85,"Strong",IF(O33&lt;95,"Excellent","Exceptional")))))</f>
        <v>Strong</v>
      </c>
    </row>
    <row r="34" customFormat="false" ht="15" hidden="false" customHeight="true" outlineLevel="0" collapsed="false">
      <c r="A34" s="3" t="s">
        <v>35</v>
      </c>
      <c r="B34" s="4" t="s">
        <v>11</v>
      </c>
      <c r="C34" s="4" t="s">
        <v>9</v>
      </c>
      <c r="D34" s="4" t="s">
        <v>18</v>
      </c>
      <c r="E34" s="3" t="n">
        <f aca="false">AVERAGE(INDEX(Resources!$B$2:$F$10,MATCH($B34,Resources!$A$2:$A$10,0),1),INDEX(Resources!$B$2:$F$10,MATCH($C34,Resources!$A$2:$A$10,0),1),INDEX(Resources!$B$2:$F$10,MATCH($D34,Resources!$A$2:$A$10,0),1))</f>
        <v>610</v>
      </c>
      <c r="F34" s="3" t="s">
        <v>36</v>
      </c>
      <c r="G34" s="6" t="n">
        <f aca="false">(Weights!$C$5*IF(Weights!$D$5=0,$E34,INDEX(Resources!$B$2:$F$10,MATCH(CHOOSE(Weights!$D$5,$B34,$C34,$D34),Resources!$A$2:$A$10,0),MATCH(Weights!$E$5,Resources!$B$1:$F$1,0)))+Weights!$F$5*IF(Weights!$G$5=0,$E34,INDEX(Resources!$B$2:$F$10,MATCH(CHOOSE(Weights!$G$5,$B34,$C34,$D34),Resources!$A$2:$A$10,0),MATCH(Weights!$H$5,Resources!$B$1:$F$1,0)))+Weights!$I$5*IF(Weights!$J$5=0,$E34,INDEX(Resources!$B$2:$F$10,MATCH(CHOOSE(Weights!$J$5,$B34,$C34,$D34),Resources!$A$2:$A$10,0),MATCH(Weights!$K$5,Resources!$B$1:$F$1,0))))/10</f>
        <v>66.25</v>
      </c>
      <c r="H34" s="3" t="str">
        <f aca="false">IF(G34&lt;40,"Poor",IF(G34&lt;55,"Basic",IF(G34&lt;70,"Solid",IF(G34&lt;85,"Strong",IF(G34&lt;95,"Excellent","Exceptional")))))</f>
        <v>Solid</v>
      </c>
      <c r="I34" s="3" t="s">
        <v>37</v>
      </c>
      <c r="J34" s="6" t="n">
        <f aca="false">(Weights!$C$6*IF(Weights!$D$6=0,$E34,INDEX(Resources!$B$2:$F$10,MATCH(CHOOSE(Weights!$D$6,$B34,$C34,$D34),Resources!$A$2:$A$10,0),MATCH(Weights!$E$6,Resources!$B$1:$F$1,0)))+Weights!$F$6*IF(Weights!$G$6=0,$E34,INDEX(Resources!$B$2:$F$10,MATCH(CHOOSE(Weights!$G$6,$B34,$C34,$D34),Resources!$A$2:$A$10,0),MATCH(Weights!$H$6,Resources!$B$1:$F$1,0)))+Weights!$I$6*IF(Weights!$J$6=0,$E34,INDEX(Resources!$B$2:$F$10,MATCH(CHOOSE(Weights!$J$6,$B34,$C34,$D34),Resources!$A$2:$A$10,0),MATCH(Weights!$K$6,Resources!$B$1:$F$1,0))))/10</f>
        <v>74.95</v>
      </c>
      <c r="K34" s="3" t="str">
        <f aca="false">IF(J34&lt;40,"Poor",IF(J34&lt;55,"Basic",IF(J34&lt;70,"Solid",IF(J34&lt;85,"Strong",IF(J34&lt;95,"Excellent","Exceptional")))))</f>
        <v>Strong</v>
      </c>
      <c r="L34" s="3" t="s">
        <v>38</v>
      </c>
      <c r="M34" s="6" t="n">
        <f aca="false">(Weights!$C$7*IF(Weights!$D$7=0,$E34,INDEX(Resources!$B$2:$F$10,MATCH(CHOOSE(Weights!$D$7,$B34,$C34,$D34),Resources!$A$2:$A$10,0),MATCH(Weights!$E$7,Resources!$B$1:$F$1,0)))+Weights!$F$7*IF(Weights!$G$7=0,$E34,INDEX(Resources!$B$2:$F$10,MATCH(CHOOSE(Weights!$G$7,$B34,$C34,$D34),Resources!$A$2:$A$10,0),MATCH(Weights!$H$7,Resources!$B$1:$F$1,0)))+Weights!$I$7*IF(Weights!$J$7=0,$E34,INDEX(Resources!$B$2:$F$10,MATCH(CHOOSE(Weights!$J$7,$B34,$C34,$D34),Resources!$A$2:$A$10,0),MATCH(Weights!$K$7,Resources!$B$1:$F$1,0))))/10</f>
        <v>54.65</v>
      </c>
      <c r="N34" s="3" t="str">
        <f aca="false">IF(M34&lt;40,"Poor",IF(M34&lt;55,"Basic",IF(M34&lt;70,"Solid",IF(M34&lt;85,"Strong",IF(M34&lt;95,"Excellent","Exceptional")))))</f>
        <v>Basic</v>
      </c>
      <c r="O34" s="6" t="n">
        <f aca="false">MIN(100,MAX(G34,J34,M34)*(1+0.05*3))</f>
        <v>86.1925</v>
      </c>
      <c r="P34" s="3" t="str">
        <f aca="false">IF(O34&lt;40,"Poor",IF(O34&lt;55,"Basic",IF(O34&lt;70,"Solid",IF(O34&lt;85,"Strong",IF(O34&lt;95,"Excellent","Exceptional")))))</f>
        <v>Excellent</v>
      </c>
    </row>
    <row r="35" customFormat="false" ht="15" hidden="false" customHeight="true" outlineLevel="0" collapsed="false">
      <c r="A35" s="3" t="s">
        <v>35</v>
      </c>
      <c r="B35" s="4" t="s">
        <v>11</v>
      </c>
      <c r="C35" s="4" t="s">
        <v>10</v>
      </c>
      <c r="D35" s="4" t="s">
        <v>15</v>
      </c>
      <c r="E35" s="3" t="n">
        <f aca="false">AVERAGE(INDEX(Resources!$B$2:$F$10,MATCH($B35,Resources!$A$2:$A$10,0),1),INDEX(Resources!$B$2:$F$10,MATCH($C35,Resources!$A$2:$A$10,0),1),INDEX(Resources!$B$2:$F$10,MATCH($D35,Resources!$A$2:$A$10,0),1))</f>
        <v>543.333333333333</v>
      </c>
      <c r="F35" s="3" t="s">
        <v>36</v>
      </c>
      <c r="G35" s="6" t="n">
        <f aca="false">(Weights!$C$5*IF(Weights!$D$5=0,$E35,INDEX(Resources!$B$2:$F$10,MATCH(CHOOSE(Weights!$D$5,$B35,$C35,$D35),Resources!$A$2:$A$10,0),MATCH(Weights!$E$5,Resources!$B$1:$F$1,0)))+Weights!$F$5*IF(Weights!$G$5=0,$E35,INDEX(Resources!$B$2:$F$10,MATCH(CHOOSE(Weights!$G$5,$B35,$C35,$D35),Resources!$A$2:$A$10,0),MATCH(Weights!$H$5,Resources!$B$1:$F$1,0)))+Weights!$I$5*IF(Weights!$J$5=0,$E35,INDEX(Resources!$B$2:$F$10,MATCH(CHOOSE(Weights!$J$5,$B35,$C35,$D35),Resources!$A$2:$A$10,0),MATCH(Weights!$K$5,Resources!$B$1:$F$1,0))))/10</f>
        <v>69.1166666666667</v>
      </c>
      <c r="H35" s="3" t="str">
        <f aca="false">IF(G35&lt;40,"Poor",IF(G35&lt;55,"Basic",IF(G35&lt;70,"Solid",IF(G35&lt;85,"Strong",IF(G35&lt;95,"Excellent","Exceptional")))))</f>
        <v>Solid</v>
      </c>
      <c r="I35" s="3" t="s">
        <v>37</v>
      </c>
      <c r="J35" s="6" t="n">
        <f aca="false">(Weights!$C$6*IF(Weights!$D$6=0,$E35,INDEX(Resources!$B$2:$F$10,MATCH(CHOOSE(Weights!$D$6,$B35,$C35,$D35),Resources!$A$2:$A$10,0),MATCH(Weights!$E$6,Resources!$B$1:$F$1,0)))+Weights!$F$6*IF(Weights!$G$6=0,$E35,INDEX(Resources!$B$2:$F$10,MATCH(CHOOSE(Weights!$G$6,$B35,$C35,$D35),Resources!$A$2:$A$10,0),MATCH(Weights!$H$6,Resources!$B$1:$F$1,0)))+Weights!$I$6*IF(Weights!$J$6=0,$E35,INDEX(Resources!$B$2:$F$10,MATCH(CHOOSE(Weights!$J$6,$B35,$C35,$D35),Resources!$A$2:$A$10,0),MATCH(Weights!$K$6,Resources!$B$1:$F$1,0))))/10</f>
        <v>66.0833333333333</v>
      </c>
      <c r="K35" s="3" t="str">
        <f aca="false">IF(J35&lt;40,"Poor",IF(J35&lt;55,"Basic",IF(J35&lt;70,"Solid",IF(J35&lt;85,"Strong",IF(J35&lt;95,"Excellent","Exceptional")))))</f>
        <v>Solid</v>
      </c>
      <c r="L35" s="3" t="s">
        <v>38</v>
      </c>
      <c r="M35" s="6" t="n">
        <f aca="false">(Weights!$C$7*IF(Weights!$D$7=0,$E35,INDEX(Resources!$B$2:$F$10,MATCH(CHOOSE(Weights!$D$7,$B35,$C35,$D35),Resources!$A$2:$A$10,0),MATCH(Weights!$E$7,Resources!$B$1:$F$1,0)))+Weights!$F$7*IF(Weights!$G$7=0,$E35,INDEX(Resources!$B$2:$F$10,MATCH(CHOOSE(Weights!$G$7,$B35,$C35,$D35),Resources!$A$2:$A$10,0),MATCH(Weights!$H$7,Resources!$B$1:$F$1,0)))+Weights!$I$7*IF(Weights!$J$7=0,$E35,INDEX(Resources!$B$2:$F$10,MATCH(CHOOSE(Weights!$J$7,$B35,$C35,$D35),Resources!$A$2:$A$10,0),MATCH(Weights!$K$7,Resources!$B$1:$F$1,0))))/10</f>
        <v>64.1166666666667</v>
      </c>
      <c r="N35" s="3" t="str">
        <f aca="false">IF(M35&lt;40,"Poor",IF(M35&lt;55,"Basic",IF(M35&lt;70,"Solid",IF(M35&lt;85,"Strong",IF(M35&lt;95,"Excellent","Exceptional")))))</f>
        <v>Solid</v>
      </c>
      <c r="O35" s="6" t="n">
        <f aca="false">MIN(100,MAX(G35,J35,M35)*(1+0.05*3))</f>
        <v>79.4841666666667</v>
      </c>
      <c r="P35" s="3" t="str">
        <f aca="false">IF(O35&lt;40,"Poor",IF(O35&lt;55,"Basic",IF(O35&lt;70,"Solid",IF(O35&lt;85,"Strong",IF(O35&lt;95,"Excellent","Exceptional")))))</f>
        <v>Strong</v>
      </c>
    </row>
    <row r="36" customFormat="false" ht="15" hidden="false" customHeight="true" outlineLevel="0" collapsed="false">
      <c r="A36" s="3" t="s">
        <v>35</v>
      </c>
      <c r="B36" s="4" t="s">
        <v>11</v>
      </c>
      <c r="C36" s="4" t="s">
        <v>10</v>
      </c>
      <c r="D36" s="4" t="s">
        <v>17</v>
      </c>
      <c r="E36" s="3" t="n">
        <f aca="false">AVERAGE(INDEX(Resources!$B$2:$F$10,MATCH($B36,Resources!$A$2:$A$10,0),1),INDEX(Resources!$B$2:$F$10,MATCH($C36,Resources!$A$2:$A$10,0),1),INDEX(Resources!$B$2:$F$10,MATCH($D36,Resources!$A$2:$A$10,0),1))</f>
        <v>513.333333333333</v>
      </c>
      <c r="F36" s="3" t="s">
        <v>36</v>
      </c>
      <c r="G36" s="6" t="n">
        <f aca="false">(Weights!$C$5*IF(Weights!$D$5=0,$E36,INDEX(Resources!$B$2:$F$10,MATCH(CHOOSE(Weights!$D$5,$B36,$C36,$D36),Resources!$A$2:$A$10,0),MATCH(Weights!$E$5,Resources!$B$1:$F$1,0)))+Weights!$F$5*IF(Weights!$G$5=0,$E36,INDEX(Resources!$B$2:$F$10,MATCH(CHOOSE(Weights!$G$5,$B36,$C36,$D36),Resources!$A$2:$A$10,0),MATCH(Weights!$H$5,Resources!$B$1:$F$1,0)))+Weights!$I$5*IF(Weights!$J$5=0,$E36,INDEX(Resources!$B$2:$F$10,MATCH(CHOOSE(Weights!$J$5,$B36,$C36,$D36),Resources!$A$2:$A$10,0),MATCH(Weights!$K$5,Resources!$B$1:$F$1,0))))/10</f>
        <v>68.5166666666667</v>
      </c>
      <c r="H36" s="3" t="str">
        <f aca="false">IF(G36&lt;40,"Poor",IF(G36&lt;55,"Basic",IF(G36&lt;70,"Solid",IF(G36&lt;85,"Strong",IF(G36&lt;95,"Excellent","Exceptional")))))</f>
        <v>Solid</v>
      </c>
      <c r="I36" s="3" t="s">
        <v>37</v>
      </c>
      <c r="J36" s="6" t="n">
        <f aca="false">(Weights!$C$6*IF(Weights!$D$6=0,$E36,INDEX(Resources!$B$2:$F$10,MATCH(CHOOSE(Weights!$D$6,$B36,$C36,$D36),Resources!$A$2:$A$10,0),MATCH(Weights!$E$6,Resources!$B$1:$F$1,0)))+Weights!$F$6*IF(Weights!$G$6=0,$E36,INDEX(Resources!$B$2:$F$10,MATCH(CHOOSE(Weights!$G$6,$B36,$C36,$D36),Resources!$A$2:$A$10,0),MATCH(Weights!$H$6,Resources!$B$1:$F$1,0)))+Weights!$I$6*IF(Weights!$J$6=0,$E36,INDEX(Resources!$B$2:$F$10,MATCH(CHOOSE(Weights!$J$6,$B36,$C36,$D36),Resources!$A$2:$A$10,0),MATCH(Weights!$K$6,Resources!$B$1:$F$1,0))))/10</f>
        <v>65.3333333333333</v>
      </c>
      <c r="K36" s="3" t="str">
        <f aca="false">IF(J36&lt;40,"Poor",IF(J36&lt;55,"Basic",IF(J36&lt;70,"Solid",IF(J36&lt;85,"Strong",IF(J36&lt;95,"Excellent","Exceptional")))))</f>
        <v>Solid</v>
      </c>
      <c r="L36" s="3" t="s">
        <v>38</v>
      </c>
      <c r="M36" s="6" t="n">
        <f aca="false">(Weights!$C$7*IF(Weights!$D$7=0,$E36,INDEX(Resources!$B$2:$F$10,MATCH(CHOOSE(Weights!$D$7,$B36,$C36,$D36),Resources!$A$2:$A$10,0),MATCH(Weights!$E$7,Resources!$B$1:$F$1,0)))+Weights!$F$7*IF(Weights!$G$7=0,$E36,INDEX(Resources!$B$2:$F$10,MATCH(CHOOSE(Weights!$G$7,$B36,$C36,$D36),Resources!$A$2:$A$10,0),MATCH(Weights!$H$7,Resources!$B$1:$F$1,0)))+Weights!$I$7*IF(Weights!$J$7=0,$E36,INDEX(Resources!$B$2:$F$10,MATCH(CHOOSE(Weights!$J$7,$B36,$C36,$D36),Resources!$A$2:$A$10,0),MATCH(Weights!$K$7,Resources!$B$1:$F$1,0))))/10</f>
        <v>33.3666666666667</v>
      </c>
      <c r="N36" s="3" t="str">
        <f aca="false">IF(M36&lt;40,"Poor",IF(M36&lt;55,"Basic",IF(M36&lt;70,"Solid",IF(M36&lt;85,"Strong",IF(M36&lt;95,"Excellent","Exceptional")))))</f>
        <v>Poor</v>
      </c>
      <c r="O36" s="6" t="n">
        <f aca="false">MIN(100,MAX(G36,J36,M36)*(1+0.05*3))</f>
        <v>78.7941666666667</v>
      </c>
      <c r="P36" s="3" t="str">
        <f aca="false">IF(O36&lt;40,"Poor",IF(O36&lt;55,"Basic",IF(O36&lt;70,"Solid",IF(O36&lt;85,"Strong",IF(O36&lt;95,"Excellent","Exceptional")))))</f>
        <v>Strong</v>
      </c>
    </row>
    <row r="37" customFormat="false" ht="15" hidden="false" customHeight="true" outlineLevel="0" collapsed="false">
      <c r="A37" s="3" t="s">
        <v>35</v>
      </c>
      <c r="B37" s="4" t="s">
        <v>11</v>
      </c>
      <c r="C37" s="4" t="s">
        <v>10</v>
      </c>
      <c r="D37" s="4" t="s">
        <v>18</v>
      </c>
      <c r="E37" s="3" t="n">
        <f aca="false">AVERAGE(INDEX(Resources!$B$2:$F$10,MATCH($B37,Resources!$A$2:$A$10,0),1),INDEX(Resources!$B$2:$F$10,MATCH($C37,Resources!$A$2:$A$10,0),1),INDEX(Resources!$B$2:$F$10,MATCH($D37,Resources!$A$2:$A$10,0),1))</f>
        <v>583.333333333333</v>
      </c>
      <c r="F37" s="3" t="s">
        <v>36</v>
      </c>
      <c r="G37" s="6" t="n">
        <f aca="false">(Weights!$C$5*IF(Weights!$D$5=0,$E37,INDEX(Resources!$B$2:$F$10,MATCH(CHOOSE(Weights!$D$5,$B37,$C37,$D37),Resources!$A$2:$A$10,0),MATCH(Weights!$E$5,Resources!$B$1:$F$1,0)))+Weights!$F$5*IF(Weights!$G$5=0,$E37,INDEX(Resources!$B$2:$F$10,MATCH(CHOOSE(Weights!$G$5,$B37,$C37,$D37),Resources!$A$2:$A$10,0),MATCH(Weights!$H$5,Resources!$B$1:$F$1,0)))+Weights!$I$5*IF(Weights!$J$5=0,$E37,INDEX(Resources!$B$2:$F$10,MATCH(CHOOSE(Weights!$J$5,$B37,$C37,$D37),Resources!$A$2:$A$10,0),MATCH(Weights!$K$5,Resources!$B$1:$F$1,0))))/10</f>
        <v>69.9166666666667</v>
      </c>
      <c r="H37" s="3" t="str">
        <f aca="false">IF(G37&lt;40,"Poor",IF(G37&lt;55,"Basic",IF(G37&lt;70,"Solid",IF(G37&lt;85,"Strong",IF(G37&lt;95,"Excellent","Exceptional")))))</f>
        <v>Solid</v>
      </c>
      <c r="I37" s="3" t="s">
        <v>37</v>
      </c>
      <c r="J37" s="6" t="n">
        <f aca="false">(Weights!$C$6*IF(Weights!$D$6=0,$E37,INDEX(Resources!$B$2:$F$10,MATCH(CHOOSE(Weights!$D$6,$B37,$C37,$D37),Resources!$A$2:$A$10,0),MATCH(Weights!$E$6,Resources!$B$1:$F$1,0)))+Weights!$F$6*IF(Weights!$G$6=0,$E37,INDEX(Resources!$B$2:$F$10,MATCH(CHOOSE(Weights!$G$6,$B37,$C37,$D37),Resources!$A$2:$A$10,0),MATCH(Weights!$H$6,Resources!$B$1:$F$1,0)))+Weights!$I$6*IF(Weights!$J$6=0,$E37,INDEX(Resources!$B$2:$F$10,MATCH(CHOOSE(Weights!$J$6,$B37,$C37,$D37),Resources!$A$2:$A$10,0),MATCH(Weights!$K$6,Resources!$B$1:$F$1,0))))/10</f>
        <v>67.0833333333333</v>
      </c>
      <c r="K37" s="3" t="str">
        <f aca="false">IF(J37&lt;40,"Poor",IF(J37&lt;55,"Basic",IF(J37&lt;70,"Solid",IF(J37&lt;85,"Strong",IF(J37&lt;95,"Excellent","Exceptional")))))</f>
        <v>Solid</v>
      </c>
      <c r="L37" s="3" t="s">
        <v>38</v>
      </c>
      <c r="M37" s="6" t="n">
        <f aca="false">(Weights!$C$7*IF(Weights!$D$7=0,$E37,INDEX(Resources!$B$2:$F$10,MATCH(CHOOSE(Weights!$D$7,$B37,$C37,$D37),Resources!$A$2:$A$10,0),MATCH(Weights!$E$7,Resources!$B$1:$F$1,0)))+Weights!$F$7*IF(Weights!$G$7=0,$E37,INDEX(Resources!$B$2:$F$10,MATCH(CHOOSE(Weights!$G$7,$B37,$C37,$D37),Resources!$A$2:$A$10,0),MATCH(Weights!$H$7,Resources!$B$1:$F$1,0)))+Weights!$I$7*IF(Weights!$J$7=0,$E37,INDEX(Resources!$B$2:$F$10,MATCH(CHOOSE(Weights!$J$7,$B37,$C37,$D37),Resources!$A$2:$A$10,0),MATCH(Weights!$K$7,Resources!$B$1:$F$1,0))))/10</f>
        <v>54.1166666666667</v>
      </c>
      <c r="N37" s="3" t="str">
        <f aca="false">IF(M37&lt;40,"Poor",IF(M37&lt;55,"Basic",IF(M37&lt;70,"Solid",IF(M37&lt;85,"Strong",IF(M37&lt;95,"Excellent","Exceptional")))))</f>
        <v>Basic</v>
      </c>
      <c r="O37" s="6" t="n">
        <f aca="false">MIN(100,MAX(G37,J37,M37)*(1+0.05*3))</f>
        <v>80.4041666666667</v>
      </c>
      <c r="P37" s="3" t="str">
        <f aca="false">IF(O37&lt;40,"Poor",IF(O37&lt;55,"Basic",IF(O37&lt;70,"Solid",IF(O37&lt;85,"Strong",IF(O37&lt;95,"Excellent","Exceptional")))))</f>
        <v>Strong</v>
      </c>
    </row>
    <row r="38" customFormat="false" ht="15" hidden="false" customHeight="true" outlineLevel="0" collapsed="false">
      <c r="A38" s="3" t="s">
        <v>35</v>
      </c>
      <c r="B38" s="4" t="s">
        <v>13</v>
      </c>
      <c r="C38" s="4" t="s">
        <v>7</v>
      </c>
      <c r="D38" s="4" t="s">
        <v>15</v>
      </c>
      <c r="E38" s="3" t="n">
        <f aca="false">AVERAGE(INDEX(Resources!$B$2:$F$10,MATCH($B38,Resources!$A$2:$A$10,0),1),INDEX(Resources!$B$2:$F$10,MATCH($C38,Resources!$A$2:$A$10,0),1),INDEX(Resources!$B$2:$F$10,MATCH($D38,Resources!$A$2:$A$10,0),1))</f>
        <v>673.333333333333</v>
      </c>
      <c r="F38" s="3" t="s">
        <v>36</v>
      </c>
      <c r="G38" s="6" t="n">
        <f aca="false">(Weights!$C$5*IF(Weights!$D$5=0,$E38,INDEX(Resources!$B$2:$F$10,MATCH(CHOOSE(Weights!$D$5,$B38,$C38,$D38),Resources!$A$2:$A$10,0),MATCH(Weights!$E$5,Resources!$B$1:$F$1,0)))+Weights!$F$5*IF(Weights!$G$5=0,$E38,INDEX(Resources!$B$2:$F$10,MATCH(CHOOSE(Weights!$G$5,$B38,$C38,$D38),Resources!$A$2:$A$10,0),MATCH(Weights!$H$5,Resources!$B$1:$F$1,0)))+Weights!$I$5*IF(Weights!$J$5=0,$E38,INDEX(Resources!$B$2:$F$10,MATCH(CHOOSE(Weights!$J$5,$B38,$C38,$D38),Resources!$A$2:$A$10,0),MATCH(Weights!$K$5,Resources!$B$1:$F$1,0))))/10</f>
        <v>74.9166666666667</v>
      </c>
      <c r="H38" s="3" t="str">
        <f aca="false">IF(G38&lt;40,"Poor",IF(G38&lt;55,"Basic",IF(G38&lt;70,"Solid",IF(G38&lt;85,"Strong",IF(G38&lt;95,"Excellent","Exceptional")))))</f>
        <v>Strong</v>
      </c>
      <c r="I38" s="3" t="s">
        <v>37</v>
      </c>
      <c r="J38" s="6" t="n">
        <f aca="false">(Weights!$C$6*IF(Weights!$D$6=0,$E38,INDEX(Resources!$B$2:$F$10,MATCH(CHOOSE(Weights!$D$6,$B38,$C38,$D38),Resources!$A$2:$A$10,0),MATCH(Weights!$E$6,Resources!$B$1:$F$1,0)))+Weights!$F$6*IF(Weights!$G$6=0,$E38,INDEX(Resources!$B$2:$F$10,MATCH(CHOOSE(Weights!$G$6,$B38,$C38,$D38),Resources!$A$2:$A$10,0),MATCH(Weights!$H$6,Resources!$B$1:$F$1,0)))+Weights!$I$6*IF(Weights!$J$6=0,$E38,INDEX(Resources!$B$2:$F$10,MATCH(CHOOSE(Weights!$J$6,$B38,$C38,$D38),Resources!$A$2:$A$10,0),MATCH(Weights!$K$6,Resources!$B$1:$F$1,0))))/10</f>
        <v>61.5333333333333</v>
      </c>
      <c r="K38" s="3" t="str">
        <f aca="false">IF(J38&lt;40,"Poor",IF(J38&lt;55,"Basic",IF(J38&lt;70,"Solid",IF(J38&lt;85,"Strong",IF(J38&lt;95,"Excellent","Exceptional")))))</f>
        <v>Solid</v>
      </c>
      <c r="L38" s="3" t="s">
        <v>38</v>
      </c>
      <c r="M38" s="6" t="n">
        <f aca="false">(Weights!$C$7*IF(Weights!$D$7=0,$E38,INDEX(Resources!$B$2:$F$10,MATCH(CHOOSE(Weights!$D$7,$B38,$C38,$D38),Resources!$A$2:$A$10,0),MATCH(Weights!$E$7,Resources!$B$1:$F$1,0)))+Weights!$F$7*IF(Weights!$G$7=0,$E38,INDEX(Resources!$B$2:$F$10,MATCH(CHOOSE(Weights!$G$7,$B38,$C38,$D38),Resources!$A$2:$A$10,0),MATCH(Weights!$H$7,Resources!$B$1:$F$1,0)))+Weights!$I$7*IF(Weights!$J$7=0,$E38,INDEX(Resources!$B$2:$F$10,MATCH(CHOOSE(Weights!$J$7,$B38,$C38,$D38),Resources!$A$2:$A$10,0),MATCH(Weights!$K$7,Resources!$B$1:$F$1,0))))/10</f>
        <v>74.7666666666667</v>
      </c>
      <c r="N38" s="3" t="str">
        <f aca="false">IF(M38&lt;40,"Poor",IF(M38&lt;55,"Basic",IF(M38&lt;70,"Solid",IF(M38&lt;85,"Strong",IF(M38&lt;95,"Excellent","Exceptional")))))</f>
        <v>Strong</v>
      </c>
      <c r="O38" s="6" t="n">
        <f aca="false">MIN(100,MAX(G38,J38,M38)*(1+0.05*3))</f>
        <v>86.1541666666667</v>
      </c>
      <c r="P38" s="3" t="str">
        <f aca="false">IF(O38&lt;40,"Poor",IF(O38&lt;55,"Basic",IF(O38&lt;70,"Solid",IF(O38&lt;85,"Strong",IF(O38&lt;95,"Excellent","Exceptional")))))</f>
        <v>Excellent</v>
      </c>
    </row>
    <row r="39" customFormat="false" ht="15" hidden="false" customHeight="true" outlineLevel="0" collapsed="false">
      <c r="A39" s="3" t="s">
        <v>35</v>
      </c>
      <c r="B39" s="4" t="s">
        <v>13</v>
      </c>
      <c r="C39" s="4" t="s">
        <v>7</v>
      </c>
      <c r="D39" s="4" t="s">
        <v>17</v>
      </c>
      <c r="E39" s="3" t="n">
        <f aca="false">AVERAGE(INDEX(Resources!$B$2:$F$10,MATCH($B39,Resources!$A$2:$A$10,0),1),INDEX(Resources!$B$2:$F$10,MATCH($C39,Resources!$A$2:$A$10,0),1),INDEX(Resources!$B$2:$F$10,MATCH($D39,Resources!$A$2:$A$10,0),1))</f>
        <v>643.333333333333</v>
      </c>
      <c r="F39" s="3" t="s">
        <v>36</v>
      </c>
      <c r="G39" s="6" t="n">
        <f aca="false">(Weights!$C$5*IF(Weights!$D$5=0,$E39,INDEX(Resources!$B$2:$F$10,MATCH(CHOOSE(Weights!$D$5,$B39,$C39,$D39),Resources!$A$2:$A$10,0),MATCH(Weights!$E$5,Resources!$B$1:$F$1,0)))+Weights!$F$5*IF(Weights!$G$5=0,$E39,INDEX(Resources!$B$2:$F$10,MATCH(CHOOSE(Weights!$G$5,$B39,$C39,$D39),Resources!$A$2:$A$10,0),MATCH(Weights!$H$5,Resources!$B$1:$F$1,0)))+Weights!$I$5*IF(Weights!$J$5=0,$E39,INDEX(Resources!$B$2:$F$10,MATCH(CHOOSE(Weights!$J$5,$B39,$C39,$D39),Resources!$A$2:$A$10,0),MATCH(Weights!$K$5,Resources!$B$1:$F$1,0))))/10</f>
        <v>74.3166666666667</v>
      </c>
      <c r="H39" s="3" t="str">
        <f aca="false">IF(G39&lt;40,"Poor",IF(G39&lt;55,"Basic",IF(G39&lt;70,"Solid",IF(G39&lt;85,"Strong",IF(G39&lt;95,"Excellent","Exceptional")))))</f>
        <v>Strong</v>
      </c>
      <c r="I39" s="3" t="s">
        <v>37</v>
      </c>
      <c r="J39" s="6" t="n">
        <f aca="false">(Weights!$C$6*IF(Weights!$D$6=0,$E39,INDEX(Resources!$B$2:$F$10,MATCH(CHOOSE(Weights!$D$6,$B39,$C39,$D39),Resources!$A$2:$A$10,0),MATCH(Weights!$E$6,Resources!$B$1:$F$1,0)))+Weights!$F$6*IF(Weights!$G$6=0,$E39,INDEX(Resources!$B$2:$F$10,MATCH(CHOOSE(Weights!$G$6,$B39,$C39,$D39),Resources!$A$2:$A$10,0),MATCH(Weights!$H$6,Resources!$B$1:$F$1,0)))+Weights!$I$6*IF(Weights!$J$6=0,$E39,INDEX(Resources!$B$2:$F$10,MATCH(CHOOSE(Weights!$J$6,$B39,$C39,$D39),Resources!$A$2:$A$10,0),MATCH(Weights!$K$6,Resources!$B$1:$F$1,0))))/10</f>
        <v>60.7833333333333</v>
      </c>
      <c r="K39" s="3" t="str">
        <f aca="false">IF(J39&lt;40,"Poor",IF(J39&lt;55,"Basic",IF(J39&lt;70,"Solid",IF(J39&lt;85,"Strong",IF(J39&lt;95,"Excellent","Exceptional")))))</f>
        <v>Solid</v>
      </c>
      <c r="L39" s="3" t="s">
        <v>38</v>
      </c>
      <c r="M39" s="6" t="n">
        <f aca="false">(Weights!$C$7*IF(Weights!$D$7=0,$E39,INDEX(Resources!$B$2:$F$10,MATCH(CHOOSE(Weights!$D$7,$B39,$C39,$D39),Resources!$A$2:$A$10,0),MATCH(Weights!$E$7,Resources!$B$1:$F$1,0)))+Weights!$F$7*IF(Weights!$G$7=0,$E39,INDEX(Resources!$B$2:$F$10,MATCH(CHOOSE(Weights!$G$7,$B39,$C39,$D39),Resources!$A$2:$A$10,0),MATCH(Weights!$H$7,Resources!$B$1:$F$1,0)))+Weights!$I$7*IF(Weights!$J$7=0,$E39,INDEX(Resources!$B$2:$F$10,MATCH(CHOOSE(Weights!$J$7,$B39,$C39,$D39),Resources!$A$2:$A$10,0),MATCH(Weights!$K$7,Resources!$B$1:$F$1,0))))/10</f>
        <v>44.0166666666667</v>
      </c>
      <c r="N39" s="3" t="str">
        <f aca="false">IF(M39&lt;40,"Poor",IF(M39&lt;55,"Basic",IF(M39&lt;70,"Solid",IF(M39&lt;85,"Strong",IF(M39&lt;95,"Excellent","Exceptional")))))</f>
        <v>Basic</v>
      </c>
      <c r="O39" s="6" t="n">
        <f aca="false">MIN(100,MAX(G39,J39,M39)*(1+0.05*3))</f>
        <v>85.4641666666667</v>
      </c>
      <c r="P39" s="3" t="str">
        <f aca="false">IF(O39&lt;40,"Poor",IF(O39&lt;55,"Basic",IF(O39&lt;70,"Solid",IF(O39&lt;85,"Strong",IF(O39&lt;95,"Excellent","Exceptional")))))</f>
        <v>Excellent</v>
      </c>
    </row>
    <row r="40" customFormat="false" ht="15" hidden="false" customHeight="true" outlineLevel="0" collapsed="false">
      <c r="A40" s="3" t="s">
        <v>35</v>
      </c>
      <c r="B40" s="4" t="s">
        <v>13</v>
      </c>
      <c r="C40" s="4" t="s">
        <v>7</v>
      </c>
      <c r="D40" s="4" t="s">
        <v>18</v>
      </c>
      <c r="E40" s="3" t="n">
        <f aca="false">AVERAGE(INDEX(Resources!$B$2:$F$10,MATCH($B40,Resources!$A$2:$A$10,0),1),INDEX(Resources!$B$2:$F$10,MATCH($C40,Resources!$A$2:$A$10,0),1),INDEX(Resources!$B$2:$F$10,MATCH($D40,Resources!$A$2:$A$10,0),1))</f>
        <v>713.333333333333</v>
      </c>
      <c r="F40" s="3" t="s">
        <v>36</v>
      </c>
      <c r="G40" s="6" t="n">
        <f aca="false">(Weights!$C$5*IF(Weights!$D$5=0,$E40,INDEX(Resources!$B$2:$F$10,MATCH(CHOOSE(Weights!$D$5,$B40,$C40,$D40),Resources!$A$2:$A$10,0),MATCH(Weights!$E$5,Resources!$B$1:$F$1,0)))+Weights!$F$5*IF(Weights!$G$5=0,$E40,INDEX(Resources!$B$2:$F$10,MATCH(CHOOSE(Weights!$G$5,$B40,$C40,$D40),Resources!$A$2:$A$10,0),MATCH(Weights!$H$5,Resources!$B$1:$F$1,0)))+Weights!$I$5*IF(Weights!$J$5=0,$E40,INDEX(Resources!$B$2:$F$10,MATCH(CHOOSE(Weights!$J$5,$B40,$C40,$D40),Resources!$A$2:$A$10,0),MATCH(Weights!$K$5,Resources!$B$1:$F$1,0))))/10</f>
        <v>75.7166666666667</v>
      </c>
      <c r="H40" s="3" t="str">
        <f aca="false">IF(G40&lt;40,"Poor",IF(G40&lt;55,"Basic",IF(G40&lt;70,"Solid",IF(G40&lt;85,"Strong",IF(G40&lt;95,"Excellent","Exceptional")))))</f>
        <v>Strong</v>
      </c>
      <c r="I40" s="3" t="s">
        <v>37</v>
      </c>
      <c r="J40" s="6" t="n">
        <f aca="false">(Weights!$C$6*IF(Weights!$D$6=0,$E40,INDEX(Resources!$B$2:$F$10,MATCH(CHOOSE(Weights!$D$6,$B40,$C40,$D40),Resources!$A$2:$A$10,0),MATCH(Weights!$E$6,Resources!$B$1:$F$1,0)))+Weights!$F$6*IF(Weights!$G$6=0,$E40,INDEX(Resources!$B$2:$F$10,MATCH(CHOOSE(Weights!$G$6,$B40,$C40,$D40),Resources!$A$2:$A$10,0),MATCH(Weights!$H$6,Resources!$B$1:$F$1,0)))+Weights!$I$6*IF(Weights!$J$6=0,$E40,INDEX(Resources!$B$2:$F$10,MATCH(CHOOSE(Weights!$J$6,$B40,$C40,$D40),Resources!$A$2:$A$10,0),MATCH(Weights!$K$6,Resources!$B$1:$F$1,0))))/10</f>
        <v>62.5333333333333</v>
      </c>
      <c r="K40" s="3" t="str">
        <f aca="false">IF(J40&lt;40,"Poor",IF(J40&lt;55,"Basic",IF(J40&lt;70,"Solid",IF(J40&lt;85,"Strong",IF(J40&lt;95,"Excellent","Exceptional")))))</f>
        <v>Solid</v>
      </c>
      <c r="L40" s="3" t="s">
        <v>38</v>
      </c>
      <c r="M40" s="6" t="n">
        <f aca="false">(Weights!$C$7*IF(Weights!$D$7=0,$E40,INDEX(Resources!$B$2:$F$10,MATCH(CHOOSE(Weights!$D$7,$B40,$C40,$D40),Resources!$A$2:$A$10,0),MATCH(Weights!$E$7,Resources!$B$1:$F$1,0)))+Weights!$F$7*IF(Weights!$G$7=0,$E40,INDEX(Resources!$B$2:$F$10,MATCH(CHOOSE(Weights!$G$7,$B40,$C40,$D40),Resources!$A$2:$A$10,0),MATCH(Weights!$H$7,Resources!$B$1:$F$1,0)))+Weights!$I$7*IF(Weights!$J$7=0,$E40,INDEX(Resources!$B$2:$F$10,MATCH(CHOOSE(Weights!$J$7,$B40,$C40,$D40),Resources!$A$2:$A$10,0),MATCH(Weights!$K$7,Resources!$B$1:$F$1,0))))/10</f>
        <v>64.7666666666667</v>
      </c>
      <c r="N40" s="3" t="str">
        <f aca="false">IF(M40&lt;40,"Poor",IF(M40&lt;55,"Basic",IF(M40&lt;70,"Solid",IF(M40&lt;85,"Strong",IF(M40&lt;95,"Excellent","Exceptional")))))</f>
        <v>Solid</v>
      </c>
      <c r="O40" s="6" t="n">
        <f aca="false">MIN(100,MAX(G40,J40,M40)*(1+0.05*3))</f>
        <v>87.0741666666667</v>
      </c>
      <c r="P40" s="3" t="str">
        <f aca="false">IF(O40&lt;40,"Poor",IF(O40&lt;55,"Basic",IF(O40&lt;70,"Solid",IF(O40&lt;85,"Strong",IF(O40&lt;95,"Excellent","Exceptional")))))</f>
        <v>Excellent</v>
      </c>
    </row>
    <row r="41" customFormat="false" ht="15" hidden="false" customHeight="true" outlineLevel="0" collapsed="false">
      <c r="A41" s="3" t="s">
        <v>35</v>
      </c>
      <c r="B41" s="4" t="s">
        <v>13</v>
      </c>
      <c r="C41" s="4" t="s">
        <v>9</v>
      </c>
      <c r="D41" s="4" t="s">
        <v>15</v>
      </c>
      <c r="E41" s="3" t="n">
        <f aca="false">AVERAGE(INDEX(Resources!$B$2:$F$10,MATCH($B41,Resources!$A$2:$A$10,0),1),INDEX(Resources!$B$2:$F$10,MATCH($C41,Resources!$A$2:$A$10,0),1),INDEX(Resources!$B$2:$F$10,MATCH($D41,Resources!$A$2:$A$10,0),1))</f>
        <v>730</v>
      </c>
      <c r="F41" s="3" t="s">
        <v>36</v>
      </c>
      <c r="G41" s="6" t="n">
        <f aca="false">(Weights!$C$5*IF(Weights!$D$5=0,$E41,INDEX(Resources!$B$2:$F$10,MATCH(CHOOSE(Weights!$D$5,$B41,$C41,$D41),Resources!$A$2:$A$10,0),MATCH(Weights!$E$5,Resources!$B$1:$F$1,0)))+Weights!$F$5*IF(Weights!$G$5=0,$E41,INDEX(Resources!$B$2:$F$10,MATCH(CHOOSE(Weights!$G$5,$B41,$C41,$D41),Resources!$A$2:$A$10,0),MATCH(Weights!$H$5,Resources!$B$1:$F$1,0)))+Weights!$I$5*IF(Weights!$J$5=0,$E41,INDEX(Resources!$B$2:$F$10,MATCH(CHOOSE(Weights!$J$5,$B41,$C41,$D41),Resources!$A$2:$A$10,0),MATCH(Weights!$K$5,Resources!$B$1:$F$1,0))))/10</f>
        <v>83.05</v>
      </c>
      <c r="H41" s="3" t="str">
        <f aca="false">IF(G41&lt;40,"Poor",IF(G41&lt;55,"Basic",IF(G41&lt;70,"Solid",IF(G41&lt;85,"Strong",IF(G41&lt;95,"Excellent","Exceptional")))))</f>
        <v>Strong</v>
      </c>
      <c r="I41" s="3" t="s">
        <v>37</v>
      </c>
      <c r="J41" s="6" t="n">
        <f aca="false">(Weights!$C$6*IF(Weights!$D$6=0,$E41,INDEX(Resources!$B$2:$F$10,MATCH(CHOOSE(Weights!$D$6,$B41,$C41,$D41),Resources!$A$2:$A$10,0),MATCH(Weights!$E$6,Resources!$B$1:$F$1,0)))+Weights!$F$6*IF(Weights!$G$6=0,$E41,INDEX(Resources!$B$2:$F$10,MATCH(CHOOSE(Weights!$G$6,$B41,$C41,$D41),Resources!$A$2:$A$10,0),MATCH(Weights!$H$6,Resources!$B$1:$F$1,0)))+Weights!$I$6*IF(Weights!$J$6=0,$E41,INDEX(Resources!$B$2:$F$10,MATCH(CHOOSE(Weights!$J$6,$B41,$C41,$D41),Resources!$A$2:$A$10,0),MATCH(Weights!$K$6,Resources!$B$1:$F$1,0))))/10</f>
        <v>77.95</v>
      </c>
      <c r="K41" s="3" t="str">
        <f aca="false">IF(J41&lt;40,"Poor",IF(J41&lt;55,"Basic",IF(J41&lt;70,"Solid",IF(J41&lt;85,"Strong",IF(J41&lt;95,"Excellent","Exceptional")))))</f>
        <v>Strong</v>
      </c>
      <c r="L41" s="3" t="s">
        <v>38</v>
      </c>
      <c r="M41" s="6" t="n">
        <f aca="false">(Weights!$C$7*IF(Weights!$D$7=0,$E41,INDEX(Resources!$B$2:$F$10,MATCH(CHOOSE(Weights!$D$7,$B41,$C41,$D41),Resources!$A$2:$A$10,0),MATCH(Weights!$E$7,Resources!$B$1:$F$1,0)))+Weights!$F$7*IF(Weights!$G$7=0,$E41,INDEX(Resources!$B$2:$F$10,MATCH(CHOOSE(Weights!$G$7,$B41,$C41,$D41),Resources!$A$2:$A$10,0),MATCH(Weights!$H$7,Resources!$B$1:$F$1,0)))+Weights!$I$7*IF(Weights!$J$7=0,$E41,INDEX(Resources!$B$2:$F$10,MATCH(CHOOSE(Weights!$J$7,$B41,$C41,$D41),Resources!$A$2:$A$10,0),MATCH(Weights!$K$7,Resources!$B$1:$F$1,0))))/10</f>
        <v>75.9</v>
      </c>
      <c r="N41" s="3" t="str">
        <f aca="false">IF(M41&lt;40,"Poor",IF(M41&lt;55,"Basic",IF(M41&lt;70,"Solid",IF(M41&lt;85,"Strong",IF(M41&lt;95,"Excellent","Exceptional")))))</f>
        <v>Strong</v>
      </c>
      <c r="O41" s="6" t="n">
        <f aca="false">MIN(100,MAX(G41,J41,M41)*(1+0.05*3))</f>
        <v>95.5075</v>
      </c>
      <c r="P41" s="3" t="str">
        <f aca="false">IF(O41&lt;40,"Poor",IF(O41&lt;55,"Basic",IF(O41&lt;70,"Solid",IF(O41&lt;85,"Strong",IF(O41&lt;95,"Excellent","Exceptional")))))</f>
        <v>Exceptional</v>
      </c>
    </row>
    <row r="42" customFormat="false" ht="15" hidden="false" customHeight="true" outlineLevel="0" collapsed="false">
      <c r="A42" s="3" t="s">
        <v>35</v>
      </c>
      <c r="B42" s="4" t="s">
        <v>13</v>
      </c>
      <c r="C42" s="4" t="s">
        <v>9</v>
      </c>
      <c r="D42" s="4" t="s">
        <v>17</v>
      </c>
      <c r="E42" s="3" t="n">
        <f aca="false">AVERAGE(INDEX(Resources!$B$2:$F$10,MATCH($B42,Resources!$A$2:$A$10,0),1),INDEX(Resources!$B$2:$F$10,MATCH($C42,Resources!$A$2:$A$10,0),1),INDEX(Resources!$B$2:$F$10,MATCH($D42,Resources!$A$2:$A$10,0),1))</f>
        <v>700</v>
      </c>
      <c r="F42" s="3" t="s">
        <v>36</v>
      </c>
      <c r="G42" s="6" t="n">
        <f aca="false">(Weights!$C$5*IF(Weights!$D$5=0,$E42,INDEX(Resources!$B$2:$F$10,MATCH(CHOOSE(Weights!$D$5,$B42,$C42,$D42),Resources!$A$2:$A$10,0),MATCH(Weights!$E$5,Resources!$B$1:$F$1,0)))+Weights!$F$5*IF(Weights!$G$5=0,$E42,INDEX(Resources!$B$2:$F$10,MATCH(CHOOSE(Weights!$G$5,$B42,$C42,$D42),Resources!$A$2:$A$10,0),MATCH(Weights!$H$5,Resources!$B$1:$F$1,0)))+Weights!$I$5*IF(Weights!$J$5=0,$E42,INDEX(Resources!$B$2:$F$10,MATCH(CHOOSE(Weights!$J$5,$B42,$C42,$D42),Resources!$A$2:$A$10,0),MATCH(Weights!$K$5,Resources!$B$1:$F$1,0))))/10</f>
        <v>82.45</v>
      </c>
      <c r="H42" s="3" t="str">
        <f aca="false">IF(G42&lt;40,"Poor",IF(G42&lt;55,"Basic",IF(G42&lt;70,"Solid",IF(G42&lt;85,"Strong",IF(G42&lt;95,"Excellent","Exceptional")))))</f>
        <v>Strong</v>
      </c>
      <c r="I42" s="3" t="s">
        <v>37</v>
      </c>
      <c r="J42" s="6" t="n">
        <f aca="false">(Weights!$C$6*IF(Weights!$D$6=0,$E42,INDEX(Resources!$B$2:$F$10,MATCH(CHOOSE(Weights!$D$6,$B42,$C42,$D42),Resources!$A$2:$A$10,0),MATCH(Weights!$E$6,Resources!$B$1:$F$1,0)))+Weights!$F$6*IF(Weights!$G$6=0,$E42,INDEX(Resources!$B$2:$F$10,MATCH(CHOOSE(Weights!$G$6,$B42,$C42,$D42),Resources!$A$2:$A$10,0),MATCH(Weights!$H$6,Resources!$B$1:$F$1,0)))+Weights!$I$6*IF(Weights!$J$6=0,$E42,INDEX(Resources!$B$2:$F$10,MATCH(CHOOSE(Weights!$J$6,$B42,$C42,$D42),Resources!$A$2:$A$10,0),MATCH(Weights!$K$6,Resources!$B$1:$F$1,0))))/10</f>
        <v>77.2</v>
      </c>
      <c r="K42" s="3" t="str">
        <f aca="false">IF(J42&lt;40,"Poor",IF(J42&lt;55,"Basic",IF(J42&lt;70,"Solid",IF(J42&lt;85,"Strong",IF(J42&lt;95,"Excellent","Exceptional")))))</f>
        <v>Strong</v>
      </c>
      <c r="L42" s="3" t="s">
        <v>38</v>
      </c>
      <c r="M42" s="6" t="n">
        <f aca="false">(Weights!$C$7*IF(Weights!$D$7=0,$E42,INDEX(Resources!$B$2:$F$10,MATCH(CHOOSE(Weights!$D$7,$B42,$C42,$D42),Resources!$A$2:$A$10,0),MATCH(Weights!$E$7,Resources!$B$1:$F$1,0)))+Weights!$F$7*IF(Weights!$G$7=0,$E42,INDEX(Resources!$B$2:$F$10,MATCH(CHOOSE(Weights!$G$7,$B42,$C42,$D42),Resources!$A$2:$A$10,0),MATCH(Weights!$H$7,Resources!$B$1:$F$1,0)))+Weights!$I$7*IF(Weights!$J$7=0,$E42,INDEX(Resources!$B$2:$F$10,MATCH(CHOOSE(Weights!$J$7,$B42,$C42,$D42),Resources!$A$2:$A$10,0),MATCH(Weights!$K$7,Resources!$B$1:$F$1,0))))/10</f>
        <v>45.15</v>
      </c>
      <c r="N42" s="3" t="str">
        <f aca="false">IF(M42&lt;40,"Poor",IF(M42&lt;55,"Basic",IF(M42&lt;70,"Solid",IF(M42&lt;85,"Strong",IF(M42&lt;95,"Excellent","Exceptional")))))</f>
        <v>Basic</v>
      </c>
      <c r="O42" s="6" t="n">
        <f aca="false">MIN(100,MAX(G42,J42,M42)*(1+0.05*3))</f>
        <v>94.8175</v>
      </c>
      <c r="P42" s="3" t="str">
        <f aca="false">IF(O42&lt;40,"Poor",IF(O42&lt;55,"Basic",IF(O42&lt;70,"Solid",IF(O42&lt;85,"Strong",IF(O42&lt;95,"Excellent","Exceptional")))))</f>
        <v>Excellent</v>
      </c>
    </row>
    <row r="43" customFormat="false" ht="15" hidden="false" customHeight="true" outlineLevel="0" collapsed="false">
      <c r="A43" s="3" t="s">
        <v>35</v>
      </c>
      <c r="B43" s="4" t="s">
        <v>13</v>
      </c>
      <c r="C43" s="4" t="s">
        <v>9</v>
      </c>
      <c r="D43" s="4" t="s">
        <v>18</v>
      </c>
      <c r="E43" s="3" t="n">
        <f aca="false">AVERAGE(INDEX(Resources!$B$2:$F$10,MATCH($B43,Resources!$A$2:$A$10,0),1),INDEX(Resources!$B$2:$F$10,MATCH($C43,Resources!$A$2:$A$10,0),1),INDEX(Resources!$B$2:$F$10,MATCH($D43,Resources!$A$2:$A$10,0),1))</f>
        <v>770</v>
      </c>
      <c r="F43" s="3" t="s">
        <v>36</v>
      </c>
      <c r="G43" s="6" t="n">
        <f aca="false">(Weights!$C$5*IF(Weights!$D$5=0,$E43,INDEX(Resources!$B$2:$F$10,MATCH(CHOOSE(Weights!$D$5,$B43,$C43,$D43),Resources!$A$2:$A$10,0),MATCH(Weights!$E$5,Resources!$B$1:$F$1,0)))+Weights!$F$5*IF(Weights!$G$5=0,$E43,INDEX(Resources!$B$2:$F$10,MATCH(CHOOSE(Weights!$G$5,$B43,$C43,$D43),Resources!$A$2:$A$10,0),MATCH(Weights!$H$5,Resources!$B$1:$F$1,0)))+Weights!$I$5*IF(Weights!$J$5=0,$E43,INDEX(Resources!$B$2:$F$10,MATCH(CHOOSE(Weights!$J$5,$B43,$C43,$D43),Resources!$A$2:$A$10,0),MATCH(Weights!$K$5,Resources!$B$1:$F$1,0))))/10</f>
        <v>83.85</v>
      </c>
      <c r="H43" s="3" t="str">
        <f aca="false">IF(G43&lt;40,"Poor",IF(G43&lt;55,"Basic",IF(G43&lt;70,"Solid",IF(G43&lt;85,"Strong",IF(G43&lt;95,"Excellent","Exceptional")))))</f>
        <v>Strong</v>
      </c>
      <c r="I43" s="3" t="s">
        <v>37</v>
      </c>
      <c r="J43" s="6" t="n">
        <f aca="false">(Weights!$C$6*IF(Weights!$D$6=0,$E43,INDEX(Resources!$B$2:$F$10,MATCH(CHOOSE(Weights!$D$6,$B43,$C43,$D43),Resources!$A$2:$A$10,0),MATCH(Weights!$E$6,Resources!$B$1:$F$1,0)))+Weights!$F$6*IF(Weights!$G$6=0,$E43,INDEX(Resources!$B$2:$F$10,MATCH(CHOOSE(Weights!$G$6,$B43,$C43,$D43),Resources!$A$2:$A$10,0),MATCH(Weights!$H$6,Resources!$B$1:$F$1,0)))+Weights!$I$6*IF(Weights!$J$6=0,$E43,INDEX(Resources!$B$2:$F$10,MATCH(CHOOSE(Weights!$J$6,$B43,$C43,$D43),Resources!$A$2:$A$10,0),MATCH(Weights!$K$6,Resources!$B$1:$F$1,0))))/10</f>
        <v>78.95</v>
      </c>
      <c r="K43" s="3" t="str">
        <f aca="false">IF(J43&lt;40,"Poor",IF(J43&lt;55,"Basic",IF(J43&lt;70,"Solid",IF(J43&lt;85,"Strong",IF(J43&lt;95,"Excellent","Exceptional")))))</f>
        <v>Strong</v>
      </c>
      <c r="L43" s="3" t="s">
        <v>38</v>
      </c>
      <c r="M43" s="6" t="n">
        <f aca="false">(Weights!$C$7*IF(Weights!$D$7=0,$E43,INDEX(Resources!$B$2:$F$10,MATCH(CHOOSE(Weights!$D$7,$B43,$C43,$D43),Resources!$A$2:$A$10,0),MATCH(Weights!$E$7,Resources!$B$1:$F$1,0)))+Weights!$F$7*IF(Weights!$G$7=0,$E43,INDEX(Resources!$B$2:$F$10,MATCH(CHOOSE(Weights!$G$7,$B43,$C43,$D43),Resources!$A$2:$A$10,0),MATCH(Weights!$H$7,Resources!$B$1:$F$1,0)))+Weights!$I$7*IF(Weights!$J$7=0,$E43,INDEX(Resources!$B$2:$F$10,MATCH(CHOOSE(Weights!$J$7,$B43,$C43,$D43),Resources!$A$2:$A$10,0),MATCH(Weights!$K$7,Resources!$B$1:$F$1,0))))/10</f>
        <v>65.9</v>
      </c>
      <c r="N43" s="3" t="str">
        <f aca="false">IF(M43&lt;40,"Poor",IF(M43&lt;55,"Basic",IF(M43&lt;70,"Solid",IF(M43&lt;85,"Strong",IF(M43&lt;95,"Excellent","Exceptional")))))</f>
        <v>Solid</v>
      </c>
      <c r="O43" s="6" t="n">
        <f aca="false">MIN(100,MAX(G43,J43,M43)*(1+0.05*3))</f>
        <v>96.4275</v>
      </c>
      <c r="P43" s="3" t="str">
        <f aca="false">IF(O43&lt;40,"Poor",IF(O43&lt;55,"Basic",IF(O43&lt;70,"Solid",IF(O43&lt;85,"Strong",IF(O43&lt;95,"Excellent","Exceptional")))))</f>
        <v>Exceptional</v>
      </c>
    </row>
    <row r="44" customFormat="false" ht="15" hidden="false" customHeight="true" outlineLevel="0" collapsed="false">
      <c r="A44" s="3" t="s">
        <v>35</v>
      </c>
      <c r="B44" s="4" t="s">
        <v>13</v>
      </c>
      <c r="C44" s="4" t="s">
        <v>10</v>
      </c>
      <c r="D44" s="4" t="s">
        <v>15</v>
      </c>
      <c r="E44" s="3" t="n">
        <f aca="false">AVERAGE(INDEX(Resources!$B$2:$F$10,MATCH($B44,Resources!$A$2:$A$10,0),1),INDEX(Resources!$B$2:$F$10,MATCH($C44,Resources!$A$2:$A$10,0),1),INDEX(Resources!$B$2:$F$10,MATCH($D44,Resources!$A$2:$A$10,0),1))</f>
        <v>703.333333333333</v>
      </c>
      <c r="F44" s="3" t="s">
        <v>36</v>
      </c>
      <c r="G44" s="6" t="n">
        <f aca="false">(Weights!$C$5*IF(Weights!$D$5=0,$E44,INDEX(Resources!$B$2:$F$10,MATCH(CHOOSE(Weights!$D$5,$B44,$C44,$D44),Resources!$A$2:$A$10,0),MATCH(Weights!$E$5,Resources!$B$1:$F$1,0)))+Weights!$F$5*IF(Weights!$G$5=0,$E44,INDEX(Resources!$B$2:$F$10,MATCH(CHOOSE(Weights!$G$5,$B44,$C44,$D44),Resources!$A$2:$A$10,0),MATCH(Weights!$H$5,Resources!$B$1:$F$1,0)))+Weights!$I$5*IF(Weights!$J$5=0,$E44,INDEX(Resources!$B$2:$F$10,MATCH(CHOOSE(Weights!$J$5,$B44,$C44,$D44),Resources!$A$2:$A$10,0),MATCH(Weights!$K$5,Resources!$B$1:$F$1,0))))/10</f>
        <v>86.7166666666667</v>
      </c>
      <c r="H44" s="3" t="str">
        <f aca="false">IF(G44&lt;40,"Poor",IF(G44&lt;55,"Basic",IF(G44&lt;70,"Solid",IF(G44&lt;85,"Strong",IF(G44&lt;95,"Excellent","Exceptional")))))</f>
        <v>Excellent</v>
      </c>
      <c r="I44" s="3" t="s">
        <v>37</v>
      </c>
      <c r="J44" s="6" t="n">
        <f aca="false">(Weights!$C$6*IF(Weights!$D$6=0,$E44,INDEX(Resources!$B$2:$F$10,MATCH(CHOOSE(Weights!$D$6,$B44,$C44,$D44),Resources!$A$2:$A$10,0),MATCH(Weights!$E$6,Resources!$B$1:$F$1,0)))+Weights!$F$6*IF(Weights!$G$6=0,$E44,INDEX(Resources!$B$2:$F$10,MATCH(CHOOSE(Weights!$G$6,$B44,$C44,$D44),Resources!$A$2:$A$10,0),MATCH(Weights!$H$6,Resources!$B$1:$F$1,0)))+Weights!$I$6*IF(Weights!$J$6=0,$E44,INDEX(Resources!$B$2:$F$10,MATCH(CHOOSE(Weights!$J$6,$B44,$C44,$D44),Resources!$A$2:$A$10,0),MATCH(Weights!$K$6,Resources!$B$1:$F$1,0))))/10</f>
        <v>70.0833333333333</v>
      </c>
      <c r="K44" s="3" t="str">
        <f aca="false">IF(J44&lt;40,"Poor",IF(J44&lt;55,"Basic",IF(J44&lt;70,"Solid",IF(J44&lt;85,"Strong",IF(J44&lt;95,"Excellent","Exceptional")))))</f>
        <v>Strong</v>
      </c>
      <c r="L44" s="3" t="s">
        <v>38</v>
      </c>
      <c r="M44" s="6" t="n">
        <f aca="false">(Weights!$C$7*IF(Weights!$D$7=0,$E44,INDEX(Resources!$B$2:$F$10,MATCH(CHOOSE(Weights!$D$7,$B44,$C44,$D44),Resources!$A$2:$A$10,0),MATCH(Weights!$E$7,Resources!$B$1:$F$1,0)))+Weights!$F$7*IF(Weights!$G$7=0,$E44,INDEX(Resources!$B$2:$F$10,MATCH(CHOOSE(Weights!$G$7,$B44,$C44,$D44),Resources!$A$2:$A$10,0),MATCH(Weights!$H$7,Resources!$B$1:$F$1,0)))+Weights!$I$7*IF(Weights!$J$7=0,$E44,INDEX(Resources!$B$2:$F$10,MATCH(CHOOSE(Weights!$J$7,$B44,$C44,$D44),Resources!$A$2:$A$10,0),MATCH(Weights!$K$7,Resources!$B$1:$F$1,0))))/10</f>
        <v>75.3666666666667</v>
      </c>
      <c r="N44" s="3" t="str">
        <f aca="false">IF(M44&lt;40,"Poor",IF(M44&lt;55,"Basic",IF(M44&lt;70,"Solid",IF(M44&lt;85,"Strong",IF(M44&lt;95,"Excellent","Exceptional")))))</f>
        <v>Strong</v>
      </c>
      <c r="O44" s="6" t="n">
        <f aca="false">MIN(100,MAX(G44,J44,M44)*(1+0.05*3))</f>
        <v>99.7241666666667</v>
      </c>
      <c r="P44" s="3" t="str">
        <f aca="false">IF(O44&lt;40,"Poor",IF(O44&lt;55,"Basic",IF(O44&lt;70,"Solid",IF(O44&lt;85,"Strong",IF(O44&lt;95,"Excellent","Exceptional")))))</f>
        <v>Exceptional</v>
      </c>
    </row>
    <row r="45" customFormat="false" ht="15" hidden="false" customHeight="true" outlineLevel="0" collapsed="false">
      <c r="A45" s="3" t="s">
        <v>35</v>
      </c>
      <c r="B45" s="4" t="s">
        <v>13</v>
      </c>
      <c r="C45" s="4" t="s">
        <v>10</v>
      </c>
      <c r="D45" s="4" t="s">
        <v>17</v>
      </c>
      <c r="E45" s="3" t="n">
        <f aca="false">AVERAGE(INDEX(Resources!$B$2:$F$10,MATCH($B45,Resources!$A$2:$A$10,0),1),INDEX(Resources!$B$2:$F$10,MATCH($C45,Resources!$A$2:$A$10,0),1),INDEX(Resources!$B$2:$F$10,MATCH($D45,Resources!$A$2:$A$10,0),1))</f>
        <v>673.333333333333</v>
      </c>
      <c r="F45" s="3" t="s">
        <v>36</v>
      </c>
      <c r="G45" s="6" t="n">
        <f aca="false">(Weights!$C$5*IF(Weights!$D$5=0,$E45,INDEX(Resources!$B$2:$F$10,MATCH(CHOOSE(Weights!$D$5,$B45,$C45,$D45),Resources!$A$2:$A$10,0),MATCH(Weights!$E$5,Resources!$B$1:$F$1,0)))+Weights!$F$5*IF(Weights!$G$5=0,$E45,INDEX(Resources!$B$2:$F$10,MATCH(CHOOSE(Weights!$G$5,$B45,$C45,$D45),Resources!$A$2:$A$10,0),MATCH(Weights!$H$5,Resources!$B$1:$F$1,0)))+Weights!$I$5*IF(Weights!$J$5=0,$E45,INDEX(Resources!$B$2:$F$10,MATCH(CHOOSE(Weights!$J$5,$B45,$C45,$D45),Resources!$A$2:$A$10,0),MATCH(Weights!$K$5,Resources!$B$1:$F$1,0))))/10</f>
        <v>86.1166666666667</v>
      </c>
      <c r="H45" s="3" t="str">
        <f aca="false">IF(G45&lt;40,"Poor",IF(G45&lt;55,"Basic",IF(G45&lt;70,"Solid",IF(G45&lt;85,"Strong",IF(G45&lt;95,"Excellent","Exceptional")))))</f>
        <v>Excellent</v>
      </c>
      <c r="I45" s="3" t="s">
        <v>37</v>
      </c>
      <c r="J45" s="6" t="n">
        <f aca="false">(Weights!$C$6*IF(Weights!$D$6=0,$E45,INDEX(Resources!$B$2:$F$10,MATCH(CHOOSE(Weights!$D$6,$B45,$C45,$D45),Resources!$A$2:$A$10,0),MATCH(Weights!$E$6,Resources!$B$1:$F$1,0)))+Weights!$F$6*IF(Weights!$G$6=0,$E45,INDEX(Resources!$B$2:$F$10,MATCH(CHOOSE(Weights!$G$6,$B45,$C45,$D45),Resources!$A$2:$A$10,0),MATCH(Weights!$H$6,Resources!$B$1:$F$1,0)))+Weights!$I$6*IF(Weights!$J$6=0,$E45,INDEX(Resources!$B$2:$F$10,MATCH(CHOOSE(Weights!$J$6,$B45,$C45,$D45),Resources!$A$2:$A$10,0),MATCH(Weights!$K$6,Resources!$B$1:$F$1,0))))/10</f>
        <v>69.3333333333333</v>
      </c>
      <c r="K45" s="3" t="str">
        <f aca="false">IF(J45&lt;40,"Poor",IF(J45&lt;55,"Basic",IF(J45&lt;70,"Solid",IF(J45&lt;85,"Strong",IF(J45&lt;95,"Excellent","Exceptional")))))</f>
        <v>Solid</v>
      </c>
      <c r="L45" s="3" t="s">
        <v>38</v>
      </c>
      <c r="M45" s="6" t="n">
        <f aca="false">(Weights!$C$7*IF(Weights!$D$7=0,$E45,INDEX(Resources!$B$2:$F$10,MATCH(CHOOSE(Weights!$D$7,$B45,$C45,$D45),Resources!$A$2:$A$10,0),MATCH(Weights!$E$7,Resources!$B$1:$F$1,0)))+Weights!$F$7*IF(Weights!$G$7=0,$E45,INDEX(Resources!$B$2:$F$10,MATCH(CHOOSE(Weights!$G$7,$B45,$C45,$D45),Resources!$A$2:$A$10,0),MATCH(Weights!$H$7,Resources!$B$1:$F$1,0)))+Weights!$I$7*IF(Weights!$J$7=0,$E45,INDEX(Resources!$B$2:$F$10,MATCH(CHOOSE(Weights!$J$7,$B45,$C45,$D45),Resources!$A$2:$A$10,0),MATCH(Weights!$K$7,Resources!$B$1:$F$1,0))))/10</f>
        <v>44.6166666666667</v>
      </c>
      <c r="N45" s="3" t="str">
        <f aca="false">IF(M45&lt;40,"Poor",IF(M45&lt;55,"Basic",IF(M45&lt;70,"Solid",IF(M45&lt;85,"Strong",IF(M45&lt;95,"Excellent","Exceptional")))))</f>
        <v>Basic</v>
      </c>
      <c r="O45" s="6" t="n">
        <f aca="false">MIN(100,MAX(G45,J45,M45)*(1+0.05*3))</f>
        <v>99.0341666666667</v>
      </c>
      <c r="P45" s="3" t="str">
        <f aca="false">IF(O45&lt;40,"Poor",IF(O45&lt;55,"Basic",IF(O45&lt;70,"Solid",IF(O45&lt;85,"Strong",IF(O45&lt;95,"Excellent","Exceptional")))))</f>
        <v>Exceptional</v>
      </c>
    </row>
    <row r="46" customFormat="false" ht="15" hidden="false" customHeight="true" outlineLevel="0" collapsed="false">
      <c r="A46" s="3" t="s">
        <v>35</v>
      </c>
      <c r="B46" s="4" t="s">
        <v>13</v>
      </c>
      <c r="C46" s="4" t="s">
        <v>10</v>
      </c>
      <c r="D46" s="4" t="s">
        <v>18</v>
      </c>
      <c r="E46" s="3" t="n">
        <f aca="false">AVERAGE(INDEX(Resources!$B$2:$F$10,MATCH($B46,Resources!$A$2:$A$10,0),1),INDEX(Resources!$B$2:$F$10,MATCH($C46,Resources!$A$2:$A$10,0),1),INDEX(Resources!$B$2:$F$10,MATCH($D46,Resources!$A$2:$A$10,0),1))</f>
        <v>743.333333333333</v>
      </c>
      <c r="F46" s="3" t="s">
        <v>36</v>
      </c>
      <c r="G46" s="6" t="n">
        <f aca="false">(Weights!$C$5*IF(Weights!$D$5=0,$E46,INDEX(Resources!$B$2:$F$10,MATCH(CHOOSE(Weights!$D$5,$B46,$C46,$D46),Resources!$A$2:$A$10,0),MATCH(Weights!$E$5,Resources!$B$1:$F$1,0)))+Weights!$F$5*IF(Weights!$G$5=0,$E46,INDEX(Resources!$B$2:$F$10,MATCH(CHOOSE(Weights!$G$5,$B46,$C46,$D46),Resources!$A$2:$A$10,0),MATCH(Weights!$H$5,Resources!$B$1:$F$1,0)))+Weights!$I$5*IF(Weights!$J$5=0,$E46,INDEX(Resources!$B$2:$F$10,MATCH(CHOOSE(Weights!$J$5,$B46,$C46,$D46),Resources!$A$2:$A$10,0),MATCH(Weights!$K$5,Resources!$B$1:$F$1,0))))/10</f>
        <v>87.5166666666667</v>
      </c>
      <c r="H46" s="3" t="str">
        <f aca="false">IF(G46&lt;40,"Poor",IF(G46&lt;55,"Basic",IF(G46&lt;70,"Solid",IF(G46&lt;85,"Strong",IF(G46&lt;95,"Excellent","Exceptional")))))</f>
        <v>Excellent</v>
      </c>
      <c r="I46" s="3" t="s">
        <v>37</v>
      </c>
      <c r="J46" s="6" t="n">
        <f aca="false">(Weights!$C$6*IF(Weights!$D$6=0,$E46,INDEX(Resources!$B$2:$F$10,MATCH(CHOOSE(Weights!$D$6,$B46,$C46,$D46),Resources!$A$2:$A$10,0),MATCH(Weights!$E$6,Resources!$B$1:$F$1,0)))+Weights!$F$6*IF(Weights!$G$6=0,$E46,INDEX(Resources!$B$2:$F$10,MATCH(CHOOSE(Weights!$G$6,$B46,$C46,$D46),Resources!$A$2:$A$10,0),MATCH(Weights!$H$6,Resources!$B$1:$F$1,0)))+Weights!$I$6*IF(Weights!$J$6=0,$E46,INDEX(Resources!$B$2:$F$10,MATCH(CHOOSE(Weights!$J$6,$B46,$C46,$D46),Resources!$A$2:$A$10,0),MATCH(Weights!$K$6,Resources!$B$1:$F$1,0))))/10</f>
        <v>71.0833333333333</v>
      </c>
      <c r="K46" s="3" t="str">
        <f aca="false">IF(J46&lt;40,"Poor",IF(J46&lt;55,"Basic",IF(J46&lt;70,"Solid",IF(J46&lt;85,"Strong",IF(J46&lt;95,"Excellent","Exceptional")))))</f>
        <v>Strong</v>
      </c>
      <c r="L46" s="3" t="s">
        <v>38</v>
      </c>
      <c r="M46" s="6" t="n">
        <f aca="false">(Weights!$C$7*IF(Weights!$D$7=0,$E46,INDEX(Resources!$B$2:$F$10,MATCH(CHOOSE(Weights!$D$7,$B46,$C46,$D46),Resources!$A$2:$A$10,0),MATCH(Weights!$E$7,Resources!$B$1:$F$1,0)))+Weights!$F$7*IF(Weights!$G$7=0,$E46,INDEX(Resources!$B$2:$F$10,MATCH(CHOOSE(Weights!$G$7,$B46,$C46,$D46),Resources!$A$2:$A$10,0),MATCH(Weights!$H$7,Resources!$B$1:$F$1,0)))+Weights!$I$7*IF(Weights!$J$7=0,$E46,INDEX(Resources!$B$2:$F$10,MATCH(CHOOSE(Weights!$J$7,$B46,$C46,$D46),Resources!$A$2:$A$10,0),MATCH(Weights!$K$7,Resources!$B$1:$F$1,0))))/10</f>
        <v>65.3666666666667</v>
      </c>
      <c r="N46" s="3" t="str">
        <f aca="false">IF(M46&lt;40,"Poor",IF(M46&lt;55,"Basic",IF(M46&lt;70,"Solid",IF(M46&lt;85,"Strong",IF(M46&lt;95,"Excellent","Exceptional")))))</f>
        <v>Solid</v>
      </c>
      <c r="O46" s="6" t="n">
        <f aca="false">MIN(100,MAX(G46,J46,M46)*(1+0.05*3))</f>
        <v>100</v>
      </c>
      <c r="P46" s="3" t="str">
        <f aca="false">IF(O46&lt;40,"Poor",IF(O46&lt;55,"Basic",IF(O46&lt;70,"Solid",IF(O46&lt;85,"Strong",IF(O46&lt;95,"Excellent","Exceptional")))))</f>
        <v>Exceptional</v>
      </c>
    </row>
    <row r="47" customFormat="false" ht="15" hidden="false" customHeight="true" outlineLevel="0" collapsed="false">
      <c r="A47" s="3" t="s">
        <v>35</v>
      </c>
      <c r="B47" s="4" t="s">
        <v>14</v>
      </c>
      <c r="C47" s="4" t="s">
        <v>7</v>
      </c>
      <c r="D47" s="4" t="s">
        <v>15</v>
      </c>
      <c r="E47" s="3" t="n">
        <f aca="false">AVERAGE(INDEX(Resources!$B$2:$F$10,MATCH($B47,Resources!$A$2:$A$10,0),1),INDEX(Resources!$B$2:$F$10,MATCH($C47,Resources!$A$2:$A$10,0),1),INDEX(Resources!$B$2:$F$10,MATCH($D47,Resources!$A$2:$A$10,0),1))</f>
        <v>586.666666666667</v>
      </c>
      <c r="F47" s="3" t="s">
        <v>36</v>
      </c>
      <c r="G47" s="6" t="n">
        <f aca="false">(Weights!$C$5*IF(Weights!$D$5=0,$E47,INDEX(Resources!$B$2:$F$10,MATCH(CHOOSE(Weights!$D$5,$B47,$C47,$D47),Resources!$A$2:$A$10,0),MATCH(Weights!$E$5,Resources!$B$1:$F$1,0)))+Weights!$F$5*IF(Weights!$G$5=0,$E47,INDEX(Resources!$B$2:$F$10,MATCH(CHOOSE(Weights!$G$5,$B47,$C47,$D47),Resources!$A$2:$A$10,0),MATCH(Weights!$H$5,Resources!$B$1:$F$1,0)))+Weights!$I$5*IF(Weights!$J$5=0,$E47,INDEX(Resources!$B$2:$F$10,MATCH(CHOOSE(Weights!$J$5,$B47,$C47,$D47),Resources!$A$2:$A$10,0),MATCH(Weights!$K$5,Resources!$B$1:$F$1,0))))/10</f>
        <v>60.1333333333333</v>
      </c>
      <c r="H47" s="3" t="str">
        <f aca="false">IF(G47&lt;40,"Poor",IF(G47&lt;55,"Basic",IF(G47&lt;70,"Solid",IF(G47&lt;85,"Strong",IF(G47&lt;95,"Excellent","Exceptional")))))</f>
        <v>Solid</v>
      </c>
      <c r="I47" s="3" t="s">
        <v>37</v>
      </c>
      <c r="J47" s="6" t="n">
        <f aca="false">(Weights!$C$6*IF(Weights!$D$6=0,$E47,INDEX(Resources!$B$2:$F$10,MATCH(CHOOSE(Weights!$D$6,$B47,$C47,$D47),Resources!$A$2:$A$10,0),MATCH(Weights!$E$6,Resources!$B$1:$F$1,0)))+Weights!$F$6*IF(Weights!$G$6=0,$E47,INDEX(Resources!$B$2:$F$10,MATCH(CHOOSE(Weights!$G$6,$B47,$C47,$D47),Resources!$A$2:$A$10,0),MATCH(Weights!$H$6,Resources!$B$1:$F$1,0)))+Weights!$I$6*IF(Weights!$J$6=0,$E47,INDEX(Resources!$B$2:$F$10,MATCH(CHOOSE(Weights!$J$6,$B47,$C47,$D47),Resources!$A$2:$A$10,0),MATCH(Weights!$K$6,Resources!$B$1:$F$1,0))))/10</f>
        <v>59.3666666666667</v>
      </c>
      <c r="K47" s="3" t="str">
        <f aca="false">IF(J47&lt;40,"Poor",IF(J47&lt;55,"Basic",IF(J47&lt;70,"Solid",IF(J47&lt;85,"Strong",IF(J47&lt;95,"Excellent","Exceptional")))))</f>
        <v>Solid</v>
      </c>
      <c r="L47" s="3" t="s">
        <v>38</v>
      </c>
      <c r="M47" s="6" t="n">
        <f aca="false">(Weights!$C$7*IF(Weights!$D$7=0,$E47,INDEX(Resources!$B$2:$F$10,MATCH(CHOOSE(Weights!$D$7,$B47,$C47,$D47),Resources!$A$2:$A$10,0),MATCH(Weights!$E$7,Resources!$B$1:$F$1,0)))+Weights!$F$7*IF(Weights!$G$7=0,$E47,INDEX(Resources!$B$2:$F$10,MATCH(CHOOSE(Weights!$G$7,$B47,$C47,$D47),Resources!$A$2:$A$10,0),MATCH(Weights!$H$7,Resources!$B$1:$F$1,0)))+Weights!$I$7*IF(Weights!$J$7=0,$E47,INDEX(Resources!$B$2:$F$10,MATCH(CHOOSE(Weights!$J$7,$B47,$C47,$D47),Resources!$A$2:$A$10,0),MATCH(Weights!$K$7,Resources!$B$1:$F$1,0))))/10</f>
        <v>77.9333333333333</v>
      </c>
      <c r="N47" s="3" t="str">
        <f aca="false">IF(M47&lt;40,"Poor",IF(M47&lt;55,"Basic",IF(M47&lt;70,"Solid",IF(M47&lt;85,"Strong",IF(M47&lt;95,"Excellent","Exceptional")))))</f>
        <v>Strong</v>
      </c>
      <c r="O47" s="6" t="n">
        <f aca="false">MIN(100,MAX(G47,J47,M47)*(1+0.05*3))</f>
        <v>89.6233333333333</v>
      </c>
      <c r="P47" s="3" t="str">
        <f aca="false">IF(O47&lt;40,"Poor",IF(O47&lt;55,"Basic",IF(O47&lt;70,"Solid",IF(O47&lt;85,"Strong",IF(O47&lt;95,"Excellent","Exceptional")))))</f>
        <v>Excellent</v>
      </c>
    </row>
    <row r="48" customFormat="false" ht="15" hidden="false" customHeight="true" outlineLevel="0" collapsed="false">
      <c r="A48" s="3" t="s">
        <v>35</v>
      </c>
      <c r="B48" s="4" t="s">
        <v>14</v>
      </c>
      <c r="C48" s="4" t="s">
        <v>7</v>
      </c>
      <c r="D48" s="4" t="s">
        <v>17</v>
      </c>
      <c r="E48" s="3" t="n">
        <f aca="false">AVERAGE(INDEX(Resources!$B$2:$F$10,MATCH($B48,Resources!$A$2:$A$10,0),1),INDEX(Resources!$B$2:$F$10,MATCH($C48,Resources!$A$2:$A$10,0),1),INDEX(Resources!$B$2:$F$10,MATCH($D48,Resources!$A$2:$A$10,0),1))</f>
        <v>556.666666666667</v>
      </c>
      <c r="F48" s="3" t="s">
        <v>36</v>
      </c>
      <c r="G48" s="6" t="n">
        <f aca="false">(Weights!$C$5*IF(Weights!$D$5=0,$E48,INDEX(Resources!$B$2:$F$10,MATCH(CHOOSE(Weights!$D$5,$B48,$C48,$D48),Resources!$A$2:$A$10,0),MATCH(Weights!$E$5,Resources!$B$1:$F$1,0)))+Weights!$F$5*IF(Weights!$G$5=0,$E48,INDEX(Resources!$B$2:$F$10,MATCH(CHOOSE(Weights!$G$5,$B48,$C48,$D48),Resources!$A$2:$A$10,0),MATCH(Weights!$H$5,Resources!$B$1:$F$1,0)))+Weights!$I$5*IF(Weights!$J$5=0,$E48,INDEX(Resources!$B$2:$F$10,MATCH(CHOOSE(Weights!$J$5,$B48,$C48,$D48),Resources!$A$2:$A$10,0),MATCH(Weights!$K$5,Resources!$B$1:$F$1,0))))/10</f>
        <v>59.5333333333333</v>
      </c>
      <c r="H48" s="3" t="str">
        <f aca="false">IF(G48&lt;40,"Poor",IF(G48&lt;55,"Basic",IF(G48&lt;70,"Solid",IF(G48&lt;85,"Strong",IF(G48&lt;95,"Excellent","Exceptional")))))</f>
        <v>Solid</v>
      </c>
      <c r="I48" s="3" t="s">
        <v>37</v>
      </c>
      <c r="J48" s="6" t="n">
        <f aca="false">(Weights!$C$6*IF(Weights!$D$6=0,$E48,INDEX(Resources!$B$2:$F$10,MATCH(CHOOSE(Weights!$D$6,$B48,$C48,$D48),Resources!$A$2:$A$10,0),MATCH(Weights!$E$6,Resources!$B$1:$F$1,0)))+Weights!$F$6*IF(Weights!$G$6=0,$E48,INDEX(Resources!$B$2:$F$10,MATCH(CHOOSE(Weights!$G$6,$B48,$C48,$D48),Resources!$A$2:$A$10,0),MATCH(Weights!$H$6,Resources!$B$1:$F$1,0)))+Weights!$I$6*IF(Weights!$J$6=0,$E48,INDEX(Resources!$B$2:$F$10,MATCH(CHOOSE(Weights!$J$6,$B48,$C48,$D48),Resources!$A$2:$A$10,0),MATCH(Weights!$K$6,Resources!$B$1:$F$1,0))))/10</f>
        <v>58.6166666666667</v>
      </c>
      <c r="K48" s="3" t="str">
        <f aca="false">IF(J48&lt;40,"Poor",IF(J48&lt;55,"Basic",IF(J48&lt;70,"Solid",IF(J48&lt;85,"Strong",IF(J48&lt;95,"Excellent","Exceptional")))))</f>
        <v>Solid</v>
      </c>
      <c r="L48" s="3" t="s">
        <v>38</v>
      </c>
      <c r="M48" s="6" t="n">
        <f aca="false">(Weights!$C$7*IF(Weights!$D$7=0,$E48,INDEX(Resources!$B$2:$F$10,MATCH(CHOOSE(Weights!$D$7,$B48,$C48,$D48),Resources!$A$2:$A$10,0),MATCH(Weights!$E$7,Resources!$B$1:$F$1,0)))+Weights!$F$7*IF(Weights!$G$7=0,$E48,INDEX(Resources!$B$2:$F$10,MATCH(CHOOSE(Weights!$G$7,$B48,$C48,$D48),Resources!$A$2:$A$10,0),MATCH(Weights!$H$7,Resources!$B$1:$F$1,0)))+Weights!$I$7*IF(Weights!$J$7=0,$E48,INDEX(Resources!$B$2:$F$10,MATCH(CHOOSE(Weights!$J$7,$B48,$C48,$D48),Resources!$A$2:$A$10,0),MATCH(Weights!$K$7,Resources!$B$1:$F$1,0))))/10</f>
        <v>47.1833333333333</v>
      </c>
      <c r="N48" s="3" t="str">
        <f aca="false">IF(M48&lt;40,"Poor",IF(M48&lt;55,"Basic",IF(M48&lt;70,"Solid",IF(M48&lt;85,"Strong",IF(M48&lt;95,"Excellent","Exceptional")))))</f>
        <v>Basic</v>
      </c>
      <c r="O48" s="6" t="n">
        <f aca="false">MIN(100,MAX(G48,J48,M48)*(1+0.05*3))</f>
        <v>68.4633333333333</v>
      </c>
      <c r="P48" s="3" t="str">
        <f aca="false">IF(O48&lt;40,"Poor",IF(O48&lt;55,"Basic",IF(O48&lt;70,"Solid",IF(O48&lt;85,"Strong",IF(O48&lt;95,"Excellent","Exceptional")))))</f>
        <v>Solid</v>
      </c>
    </row>
    <row r="49" customFormat="false" ht="15" hidden="false" customHeight="true" outlineLevel="0" collapsed="false">
      <c r="A49" s="3" t="s">
        <v>35</v>
      </c>
      <c r="B49" s="4" t="s">
        <v>14</v>
      </c>
      <c r="C49" s="4" t="s">
        <v>7</v>
      </c>
      <c r="D49" s="4" t="s">
        <v>18</v>
      </c>
      <c r="E49" s="3" t="n">
        <f aca="false">AVERAGE(INDEX(Resources!$B$2:$F$10,MATCH($B49,Resources!$A$2:$A$10,0),1),INDEX(Resources!$B$2:$F$10,MATCH($C49,Resources!$A$2:$A$10,0),1),INDEX(Resources!$B$2:$F$10,MATCH($D49,Resources!$A$2:$A$10,0),1))</f>
        <v>626.666666666667</v>
      </c>
      <c r="F49" s="3" t="s">
        <v>36</v>
      </c>
      <c r="G49" s="6" t="n">
        <f aca="false">(Weights!$C$5*IF(Weights!$D$5=0,$E49,INDEX(Resources!$B$2:$F$10,MATCH(CHOOSE(Weights!$D$5,$B49,$C49,$D49),Resources!$A$2:$A$10,0),MATCH(Weights!$E$5,Resources!$B$1:$F$1,0)))+Weights!$F$5*IF(Weights!$G$5=0,$E49,INDEX(Resources!$B$2:$F$10,MATCH(CHOOSE(Weights!$G$5,$B49,$C49,$D49),Resources!$A$2:$A$10,0),MATCH(Weights!$H$5,Resources!$B$1:$F$1,0)))+Weights!$I$5*IF(Weights!$J$5=0,$E49,INDEX(Resources!$B$2:$F$10,MATCH(CHOOSE(Weights!$J$5,$B49,$C49,$D49),Resources!$A$2:$A$10,0),MATCH(Weights!$K$5,Resources!$B$1:$F$1,0))))/10</f>
        <v>60.9333333333333</v>
      </c>
      <c r="H49" s="3" t="str">
        <f aca="false">IF(G49&lt;40,"Poor",IF(G49&lt;55,"Basic",IF(G49&lt;70,"Solid",IF(G49&lt;85,"Strong",IF(G49&lt;95,"Excellent","Exceptional")))))</f>
        <v>Solid</v>
      </c>
      <c r="I49" s="3" t="s">
        <v>37</v>
      </c>
      <c r="J49" s="6" t="n">
        <f aca="false">(Weights!$C$6*IF(Weights!$D$6=0,$E49,INDEX(Resources!$B$2:$F$10,MATCH(CHOOSE(Weights!$D$6,$B49,$C49,$D49),Resources!$A$2:$A$10,0),MATCH(Weights!$E$6,Resources!$B$1:$F$1,0)))+Weights!$F$6*IF(Weights!$G$6=0,$E49,INDEX(Resources!$B$2:$F$10,MATCH(CHOOSE(Weights!$G$6,$B49,$C49,$D49),Resources!$A$2:$A$10,0),MATCH(Weights!$H$6,Resources!$B$1:$F$1,0)))+Weights!$I$6*IF(Weights!$J$6=0,$E49,INDEX(Resources!$B$2:$F$10,MATCH(CHOOSE(Weights!$J$6,$B49,$C49,$D49),Resources!$A$2:$A$10,0),MATCH(Weights!$K$6,Resources!$B$1:$F$1,0))))/10</f>
        <v>60.3666666666667</v>
      </c>
      <c r="K49" s="3" t="str">
        <f aca="false">IF(J49&lt;40,"Poor",IF(J49&lt;55,"Basic",IF(J49&lt;70,"Solid",IF(J49&lt;85,"Strong",IF(J49&lt;95,"Excellent","Exceptional")))))</f>
        <v>Solid</v>
      </c>
      <c r="L49" s="3" t="s">
        <v>38</v>
      </c>
      <c r="M49" s="6" t="n">
        <f aca="false">(Weights!$C$7*IF(Weights!$D$7=0,$E49,INDEX(Resources!$B$2:$F$10,MATCH(CHOOSE(Weights!$D$7,$B49,$C49,$D49),Resources!$A$2:$A$10,0),MATCH(Weights!$E$7,Resources!$B$1:$F$1,0)))+Weights!$F$7*IF(Weights!$G$7=0,$E49,INDEX(Resources!$B$2:$F$10,MATCH(CHOOSE(Weights!$G$7,$B49,$C49,$D49),Resources!$A$2:$A$10,0),MATCH(Weights!$H$7,Resources!$B$1:$F$1,0)))+Weights!$I$7*IF(Weights!$J$7=0,$E49,INDEX(Resources!$B$2:$F$10,MATCH(CHOOSE(Weights!$J$7,$B49,$C49,$D49),Resources!$A$2:$A$10,0),MATCH(Weights!$K$7,Resources!$B$1:$F$1,0))))/10</f>
        <v>67.9333333333333</v>
      </c>
      <c r="N49" s="3" t="str">
        <f aca="false">IF(M49&lt;40,"Poor",IF(M49&lt;55,"Basic",IF(M49&lt;70,"Solid",IF(M49&lt;85,"Strong",IF(M49&lt;95,"Excellent","Exceptional")))))</f>
        <v>Solid</v>
      </c>
      <c r="O49" s="6" t="n">
        <f aca="false">MIN(100,MAX(G49,J49,M49)*(1+0.05*3))</f>
        <v>78.1233333333333</v>
      </c>
      <c r="P49" s="3" t="str">
        <f aca="false">IF(O49&lt;40,"Poor",IF(O49&lt;55,"Basic",IF(O49&lt;70,"Solid",IF(O49&lt;85,"Strong",IF(O49&lt;95,"Excellent","Exceptional")))))</f>
        <v>Strong</v>
      </c>
    </row>
    <row r="50" customFormat="false" ht="15" hidden="false" customHeight="true" outlineLevel="0" collapsed="false">
      <c r="A50" s="3" t="s">
        <v>35</v>
      </c>
      <c r="B50" s="4" t="s">
        <v>14</v>
      </c>
      <c r="C50" s="4" t="s">
        <v>9</v>
      </c>
      <c r="D50" s="4" t="s">
        <v>15</v>
      </c>
      <c r="E50" s="3" t="n">
        <f aca="false">AVERAGE(INDEX(Resources!$B$2:$F$10,MATCH($B50,Resources!$A$2:$A$10,0),1),INDEX(Resources!$B$2:$F$10,MATCH($C50,Resources!$A$2:$A$10,0),1),INDEX(Resources!$B$2:$F$10,MATCH($D50,Resources!$A$2:$A$10,0),1))</f>
        <v>643.333333333333</v>
      </c>
      <c r="F50" s="3" t="s">
        <v>36</v>
      </c>
      <c r="G50" s="6" t="n">
        <f aca="false">(Weights!$C$5*IF(Weights!$D$5=0,$E50,INDEX(Resources!$B$2:$F$10,MATCH(CHOOSE(Weights!$D$5,$B50,$C50,$D50),Resources!$A$2:$A$10,0),MATCH(Weights!$E$5,Resources!$B$1:$F$1,0)))+Weights!$F$5*IF(Weights!$G$5=0,$E50,INDEX(Resources!$B$2:$F$10,MATCH(CHOOSE(Weights!$G$5,$B50,$C50,$D50),Resources!$A$2:$A$10,0),MATCH(Weights!$H$5,Resources!$B$1:$F$1,0)))+Weights!$I$5*IF(Weights!$J$5=0,$E50,INDEX(Resources!$B$2:$F$10,MATCH(CHOOSE(Weights!$J$5,$B50,$C50,$D50),Resources!$A$2:$A$10,0),MATCH(Weights!$K$5,Resources!$B$1:$F$1,0))))/10</f>
        <v>68.2666666666667</v>
      </c>
      <c r="H50" s="3" t="str">
        <f aca="false">IF(G50&lt;40,"Poor",IF(G50&lt;55,"Basic",IF(G50&lt;70,"Solid",IF(G50&lt;85,"Strong",IF(G50&lt;95,"Excellent","Exceptional")))))</f>
        <v>Solid</v>
      </c>
      <c r="I50" s="3" t="s">
        <v>37</v>
      </c>
      <c r="J50" s="6" t="n">
        <f aca="false">(Weights!$C$6*IF(Weights!$D$6=0,$E50,INDEX(Resources!$B$2:$F$10,MATCH(CHOOSE(Weights!$D$6,$B50,$C50,$D50),Resources!$A$2:$A$10,0),MATCH(Weights!$E$6,Resources!$B$1:$F$1,0)))+Weights!$F$6*IF(Weights!$G$6=0,$E50,INDEX(Resources!$B$2:$F$10,MATCH(CHOOSE(Weights!$G$6,$B50,$C50,$D50),Resources!$A$2:$A$10,0),MATCH(Weights!$H$6,Resources!$B$1:$F$1,0)))+Weights!$I$6*IF(Weights!$J$6=0,$E50,INDEX(Resources!$B$2:$F$10,MATCH(CHOOSE(Weights!$J$6,$B50,$C50,$D50),Resources!$A$2:$A$10,0),MATCH(Weights!$K$6,Resources!$B$1:$F$1,0))))/10</f>
        <v>75.7833333333333</v>
      </c>
      <c r="K50" s="3" t="str">
        <f aca="false">IF(J50&lt;40,"Poor",IF(J50&lt;55,"Basic",IF(J50&lt;70,"Solid",IF(J50&lt;85,"Strong",IF(J50&lt;95,"Excellent","Exceptional")))))</f>
        <v>Strong</v>
      </c>
      <c r="L50" s="3" t="s">
        <v>38</v>
      </c>
      <c r="M50" s="6" t="n">
        <f aca="false">(Weights!$C$7*IF(Weights!$D$7=0,$E50,INDEX(Resources!$B$2:$F$10,MATCH(CHOOSE(Weights!$D$7,$B50,$C50,$D50),Resources!$A$2:$A$10,0),MATCH(Weights!$E$7,Resources!$B$1:$F$1,0)))+Weights!$F$7*IF(Weights!$G$7=0,$E50,INDEX(Resources!$B$2:$F$10,MATCH(CHOOSE(Weights!$G$7,$B50,$C50,$D50),Resources!$A$2:$A$10,0),MATCH(Weights!$H$7,Resources!$B$1:$F$1,0)))+Weights!$I$7*IF(Weights!$J$7=0,$E50,INDEX(Resources!$B$2:$F$10,MATCH(CHOOSE(Weights!$J$7,$B50,$C50,$D50),Resources!$A$2:$A$10,0),MATCH(Weights!$K$7,Resources!$B$1:$F$1,0))))/10</f>
        <v>79.0666666666667</v>
      </c>
      <c r="N50" s="3" t="str">
        <f aca="false">IF(M50&lt;40,"Poor",IF(M50&lt;55,"Basic",IF(M50&lt;70,"Solid",IF(M50&lt;85,"Strong",IF(M50&lt;95,"Excellent","Exceptional")))))</f>
        <v>Strong</v>
      </c>
      <c r="O50" s="6" t="n">
        <f aca="false">MIN(100,MAX(G50,J50,M50)*(1+0.05*3))</f>
        <v>90.9266666666667</v>
      </c>
      <c r="P50" s="3" t="str">
        <f aca="false">IF(O50&lt;40,"Poor",IF(O50&lt;55,"Basic",IF(O50&lt;70,"Solid",IF(O50&lt;85,"Strong",IF(O50&lt;95,"Excellent","Exceptional")))))</f>
        <v>Excellent</v>
      </c>
    </row>
    <row r="51" customFormat="false" ht="15" hidden="false" customHeight="true" outlineLevel="0" collapsed="false">
      <c r="A51" s="3" t="s">
        <v>35</v>
      </c>
      <c r="B51" s="4" t="s">
        <v>14</v>
      </c>
      <c r="C51" s="4" t="s">
        <v>9</v>
      </c>
      <c r="D51" s="4" t="s">
        <v>17</v>
      </c>
      <c r="E51" s="3" t="n">
        <f aca="false">AVERAGE(INDEX(Resources!$B$2:$F$10,MATCH($B51,Resources!$A$2:$A$10,0),1),INDEX(Resources!$B$2:$F$10,MATCH($C51,Resources!$A$2:$A$10,0),1),INDEX(Resources!$B$2:$F$10,MATCH($D51,Resources!$A$2:$A$10,0),1))</f>
        <v>613.333333333333</v>
      </c>
      <c r="F51" s="3" t="s">
        <v>36</v>
      </c>
      <c r="G51" s="6" t="n">
        <f aca="false">(Weights!$C$5*IF(Weights!$D$5=0,$E51,INDEX(Resources!$B$2:$F$10,MATCH(CHOOSE(Weights!$D$5,$B51,$C51,$D51),Resources!$A$2:$A$10,0),MATCH(Weights!$E$5,Resources!$B$1:$F$1,0)))+Weights!$F$5*IF(Weights!$G$5=0,$E51,INDEX(Resources!$B$2:$F$10,MATCH(CHOOSE(Weights!$G$5,$B51,$C51,$D51),Resources!$A$2:$A$10,0),MATCH(Weights!$H$5,Resources!$B$1:$F$1,0)))+Weights!$I$5*IF(Weights!$J$5=0,$E51,INDEX(Resources!$B$2:$F$10,MATCH(CHOOSE(Weights!$J$5,$B51,$C51,$D51),Resources!$A$2:$A$10,0),MATCH(Weights!$K$5,Resources!$B$1:$F$1,0))))/10</f>
        <v>67.6666666666667</v>
      </c>
      <c r="H51" s="3" t="str">
        <f aca="false">IF(G51&lt;40,"Poor",IF(G51&lt;55,"Basic",IF(G51&lt;70,"Solid",IF(G51&lt;85,"Strong",IF(G51&lt;95,"Excellent","Exceptional")))))</f>
        <v>Solid</v>
      </c>
      <c r="I51" s="3" t="s">
        <v>37</v>
      </c>
      <c r="J51" s="6" t="n">
        <f aca="false">(Weights!$C$6*IF(Weights!$D$6=0,$E51,INDEX(Resources!$B$2:$F$10,MATCH(CHOOSE(Weights!$D$6,$B51,$C51,$D51),Resources!$A$2:$A$10,0),MATCH(Weights!$E$6,Resources!$B$1:$F$1,0)))+Weights!$F$6*IF(Weights!$G$6=0,$E51,INDEX(Resources!$B$2:$F$10,MATCH(CHOOSE(Weights!$G$6,$B51,$C51,$D51),Resources!$A$2:$A$10,0),MATCH(Weights!$H$6,Resources!$B$1:$F$1,0)))+Weights!$I$6*IF(Weights!$J$6=0,$E51,INDEX(Resources!$B$2:$F$10,MATCH(CHOOSE(Weights!$J$6,$B51,$C51,$D51),Resources!$A$2:$A$10,0),MATCH(Weights!$K$6,Resources!$B$1:$F$1,0))))/10</f>
        <v>75.0333333333333</v>
      </c>
      <c r="K51" s="3" t="str">
        <f aca="false">IF(J51&lt;40,"Poor",IF(J51&lt;55,"Basic",IF(J51&lt;70,"Solid",IF(J51&lt;85,"Strong",IF(J51&lt;95,"Excellent","Exceptional")))))</f>
        <v>Strong</v>
      </c>
      <c r="L51" s="3" t="s">
        <v>38</v>
      </c>
      <c r="M51" s="6" t="n">
        <f aca="false">(Weights!$C$7*IF(Weights!$D$7=0,$E51,INDEX(Resources!$B$2:$F$10,MATCH(CHOOSE(Weights!$D$7,$B51,$C51,$D51),Resources!$A$2:$A$10,0),MATCH(Weights!$E$7,Resources!$B$1:$F$1,0)))+Weights!$F$7*IF(Weights!$G$7=0,$E51,INDEX(Resources!$B$2:$F$10,MATCH(CHOOSE(Weights!$G$7,$B51,$C51,$D51),Resources!$A$2:$A$10,0),MATCH(Weights!$H$7,Resources!$B$1:$F$1,0)))+Weights!$I$7*IF(Weights!$J$7=0,$E51,INDEX(Resources!$B$2:$F$10,MATCH(CHOOSE(Weights!$J$7,$B51,$C51,$D51),Resources!$A$2:$A$10,0),MATCH(Weights!$K$7,Resources!$B$1:$F$1,0))))/10</f>
        <v>48.3166666666667</v>
      </c>
      <c r="N51" s="3" t="str">
        <f aca="false">IF(M51&lt;40,"Poor",IF(M51&lt;55,"Basic",IF(M51&lt;70,"Solid",IF(M51&lt;85,"Strong",IF(M51&lt;95,"Excellent","Exceptional")))))</f>
        <v>Basic</v>
      </c>
      <c r="O51" s="6" t="n">
        <f aca="false">MIN(100,MAX(G51,J51,M51)*(1+0.05*3))</f>
        <v>86.2883333333333</v>
      </c>
      <c r="P51" s="3" t="str">
        <f aca="false">IF(O51&lt;40,"Poor",IF(O51&lt;55,"Basic",IF(O51&lt;70,"Solid",IF(O51&lt;85,"Strong",IF(O51&lt;95,"Excellent","Exceptional")))))</f>
        <v>Excellent</v>
      </c>
    </row>
    <row r="52" customFormat="false" ht="15" hidden="false" customHeight="true" outlineLevel="0" collapsed="false">
      <c r="A52" s="3" t="s">
        <v>35</v>
      </c>
      <c r="B52" s="4" t="s">
        <v>14</v>
      </c>
      <c r="C52" s="4" t="s">
        <v>9</v>
      </c>
      <c r="D52" s="4" t="s">
        <v>18</v>
      </c>
      <c r="E52" s="3" t="n">
        <f aca="false">AVERAGE(INDEX(Resources!$B$2:$F$10,MATCH($B52,Resources!$A$2:$A$10,0),1),INDEX(Resources!$B$2:$F$10,MATCH($C52,Resources!$A$2:$A$10,0),1),INDEX(Resources!$B$2:$F$10,MATCH($D52,Resources!$A$2:$A$10,0),1))</f>
        <v>683.333333333333</v>
      </c>
      <c r="F52" s="3" t="s">
        <v>36</v>
      </c>
      <c r="G52" s="6" t="n">
        <f aca="false">(Weights!$C$5*IF(Weights!$D$5=0,$E52,INDEX(Resources!$B$2:$F$10,MATCH(CHOOSE(Weights!$D$5,$B52,$C52,$D52),Resources!$A$2:$A$10,0),MATCH(Weights!$E$5,Resources!$B$1:$F$1,0)))+Weights!$F$5*IF(Weights!$G$5=0,$E52,INDEX(Resources!$B$2:$F$10,MATCH(CHOOSE(Weights!$G$5,$B52,$C52,$D52),Resources!$A$2:$A$10,0),MATCH(Weights!$H$5,Resources!$B$1:$F$1,0)))+Weights!$I$5*IF(Weights!$J$5=0,$E52,INDEX(Resources!$B$2:$F$10,MATCH(CHOOSE(Weights!$J$5,$B52,$C52,$D52),Resources!$A$2:$A$10,0),MATCH(Weights!$K$5,Resources!$B$1:$F$1,0))))/10</f>
        <v>69.0666666666667</v>
      </c>
      <c r="H52" s="3" t="str">
        <f aca="false">IF(G52&lt;40,"Poor",IF(G52&lt;55,"Basic",IF(G52&lt;70,"Solid",IF(G52&lt;85,"Strong",IF(G52&lt;95,"Excellent","Exceptional")))))</f>
        <v>Solid</v>
      </c>
      <c r="I52" s="3" t="s">
        <v>37</v>
      </c>
      <c r="J52" s="6" t="n">
        <f aca="false">(Weights!$C$6*IF(Weights!$D$6=0,$E52,INDEX(Resources!$B$2:$F$10,MATCH(CHOOSE(Weights!$D$6,$B52,$C52,$D52),Resources!$A$2:$A$10,0),MATCH(Weights!$E$6,Resources!$B$1:$F$1,0)))+Weights!$F$6*IF(Weights!$G$6=0,$E52,INDEX(Resources!$B$2:$F$10,MATCH(CHOOSE(Weights!$G$6,$B52,$C52,$D52),Resources!$A$2:$A$10,0),MATCH(Weights!$H$6,Resources!$B$1:$F$1,0)))+Weights!$I$6*IF(Weights!$J$6=0,$E52,INDEX(Resources!$B$2:$F$10,MATCH(CHOOSE(Weights!$J$6,$B52,$C52,$D52),Resources!$A$2:$A$10,0),MATCH(Weights!$K$6,Resources!$B$1:$F$1,0))))/10</f>
        <v>76.7833333333333</v>
      </c>
      <c r="K52" s="3" t="str">
        <f aca="false">IF(J52&lt;40,"Poor",IF(J52&lt;55,"Basic",IF(J52&lt;70,"Solid",IF(J52&lt;85,"Strong",IF(J52&lt;95,"Excellent","Exceptional")))))</f>
        <v>Strong</v>
      </c>
      <c r="L52" s="3" t="s">
        <v>38</v>
      </c>
      <c r="M52" s="6" t="n">
        <f aca="false">(Weights!$C$7*IF(Weights!$D$7=0,$E52,INDEX(Resources!$B$2:$F$10,MATCH(CHOOSE(Weights!$D$7,$B52,$C52,$D52),Resources!$A$2:$A$10,0),MATCH(Weights!$E$7,Resources!$B$1:$F$1,0)))+Weights!$F$7*IF(Weights!$G$7=0,$E52,INDEX(Resources!$B$2:$F$10,MATCH(CHOOSE(Weights!$G$7,$B52,$C52,$D52),Resources!$A$2:$A$10,0),MATCH(Weights!$H$7,Resources!$B$1:$F$1,0)))+Weights!$I$7*IF(Weights!$J$7=0,$E52,INDEX(Resources!$B$2:$F$10,MATCH(CHOOSE(Weights!$J$7,$B52,$C52,$D52),Resources!$A$2:$A$10,0),MATCH(Weights!$K$7,Resources!$B$1:$F$1,0))))/10</f>
        <v>69.0666666666667</v>
      </c>
      <c r="N52" s="3" t="str">
        <f aca="false">IF(M52&lt;40,"Poor",IF(M52&lt;55,"Basic",IF(M52&lt;70,"Solid",IF(M52&lt;85,"Strong",IF(M52&lt;95,"Excellent","Exceptional")))))</f>
        <v>Solid</v>
      </c>
      <c r="O52" s="6" t="n">
        <f aca="false">MIN(100,MAX(G52,J52,M52)*(1+0.05*3))</f>
        <v>88.3008333333333</v>
      </c>
      <c r="P52" s="3" t="str">
        <f aca="false">IF(O52&lt;40,"Poor",IF(O52&lt;55,"Basic",IF(O52&lt;70,"Solid",IF(O52&lt;85,"Strong",IF(O52&lt;95,"Excellent","Exceptional")))))</f>
        <v>Excellent</v>
      </c>
    </row>
    <row r="53" customFormat="false" ht="15" hidden="false" customHeight="true" outlineLevel="0" collapsed="false">
      <c r="A53" s="3" t="s">
        <v>35</v>
      </c>
      <c r="B53" s="4" t="s">
        <v>14</v>
      </c>
      <c r="C53" s="4" t="s">
        <v>10</v>
      </c>
      <c r="D53" s="4" t="s">
        <v>15</v>
      </c>
      <c r="E53" s="3" t="n">
        <f aca="false">AVERAGE(INDEX(Resources!$B$2:$F$10,MATCH($B53,Resources!$A$2:$A$10,0),1),INDEX(Resources!$B$2:$F$10,MATCH($C53,Resources!$A$2:$A$10,0),1),INDEX(Resources!$B$2:$F$10,MATCH($D53,Resources!$A$2:$A$10,0),1))</f>
        <v>616.666666666667</v>
      </c>
      <c r="F53" s="3" t="s">
        <v>36</v>
      </c>
      <c r="G53" s="6" t="n">
        <f aca="false">(Weights!$C$5*IF(Weights!$D$5=0,$E53,INDEX(Resources!$B$2:$F$10,MATCH(CHOOSE(Weights!$D$5,$B53,$C53,$D53),Resources!$A$2:$A$10,0),MATCH(Weights!$E$5,Resources!$B$1:$F$1,0)))+Weights!$F$5*IF(Weights!$G$5=0,$E53,INDEX(Resources!$B$2:$F$10,MATCH(CHOOSE(Weights!$G$5,$B53,$C53,$D53),Resources!$A$2:$A$10,0),MATCH(Weights!$H$5,Resources!$B$1:$F$1,0)))+Weights!$I$5*IF(Weights!$J$5=0,$E53,INDEX(Resources!$B$2:$F$10,MATCH(CHOOSE(Weights!$J$5,$B53,$C53,$D53),Resources!$A$2:$A$10,0),MATCH(Weights!$K$5,Resources!$B$1:$F$1,0))))/10</f>
        <v>71.9333333333333</v>
      </c>
      <c r="H53" s="3" t="str">
        <f aca="false">IF(G53&lt;40,"Poor",IF(G53&lt;55,"Basic",IF(G53&lt;70,"Solid",IF(G53&lt;85,"Strong",IF(G53&lt;95,"Excellent","Exceptional")))))</f>
        <v>Strong</v>
      </c>
      <c r="I53" s="3" t="s">
        <v>37</v>
      </c>
      <c r="J53" s="6" t="n">
        <f aca="false">(Weights!$C$6*IF(Weights!$D$6=0,$E53,INDEX(Resources!$B$2:$F$10,MATCH(CHOOSE(Weights!$D$6,$B53,$C53,$D53),Resources!$A$2:$A$10,0),MATCH(Weights!$E$6,Resources!$B$1:$F$1,0)))+Weights!$F$6*IF(Weights!$G$6=0,$E53,INDEX(Resources!$B$2:$F$10,MATCH(CHOOSE(Weights!$G$6,$B53,$C53,$D53),Resources!$A$2:$A$10,0),MATCH(Weights!$H$6,Resources!$B$1:$F$1,0)))+Weights!$I$6*IF(Weights!$J$6=0,$E53,INDEX(Resources!$B$2:$F$10,MATCH(CHOOSE(Weights!$J$6,$B53,$C53,$D53),Resources!$A$2:$A$10,0),MATCH(Weights!$K$6,Resources!$B$1:$F$1,0))))/10</f>
        <v>67.9166666666667</v>
      </c>
      <c r="K53" s="3" t="str">
        <f aca="false">IF(J53&lt;40,"Poor",IF(J53&lt;55,"Basic",IF(J53&lt;70,"Solid",IF(J53&lt;85,"Strong",IF(J53&lt;95,"Excellent","Exceptional")))))</f>
        <v>Solid</v>
      </c>
      <c r="L53" s="3" t="s">
        <v>38</v>
      </c>
      <c r="M53" s="6" t="n">
        <f aca="false">(Weights!$C$7*IF(Weights!$D$7=0,$E53,INDEX(Resources!$B$2:$F$10,MATCH(CHOOSE(Weights!$D$7,$B53,$C53,$D53),Resources!$A$2:$A$10,0),MATCH(Weights!$E$7,Resources!$B$1:$F$1,0)))+Weights!$F$7*IF(Weights!$G$7=0,$E53,INDEX(Resources!$B$2:$F$10,MATCH(CHOOSE(Weights!$G$7,$B53,$C53,$D53),Resources!$A$2:$A$10,0),MATCH(Weights!$H$7,Resources!$B$1:$F$1,0)))+Weights!$I$7*IF(Weights!$J$7=0,$E53,INDEX(Resources!$B$2:$F$10,MATCH(CHOOSE(Weights!$J$7,$B53,$C53,$D53),Resources!$A$2:$A$10,0),MATCH(Weights!$K$7,Resources!$B$1:$F$1,0))))/10</f>
        <v>78.5333333333333</v>
      </c>
      <c r="N53" s="3" t="str">
        <f aca="false">IF(M53&lt;40,"Poor",IF(M53&lt;55,"Basic",IF(M53&lt;70,"Solid",IF(M53&lt;85,"Strong",IF(M53&lt;95,"Excellent","Exceptional")))))</f>
        <v>Strong</v>
      </c>
      <c r="O53" s="6" t="n">
        <f aca="false">MIN(100,MAX(G53,J53,M53)*(1+0.05*3))</f>
        <v>90.3133333333333</v>
      </c>
      <c r="P53" s="3" t="str">
        <f aca="false">IF(O53&lt;40,"Poor",IF(O53&lt;55,"Basic",IF(O53&lt;70,"Solid",IF(O53&lt;85,"Strong",IF(O53&lt;95,"Excellent","Exceptional")))))</f>
        <v>Excellent</v>
      </c>
    </row>
    <row r="54" customFormat="false" ht="15" hidden="false" customHeight="true" outlineLevel="0" collapsed="false">
      <c r="A54" s="3" t="s">
        <v>35</v>
      </c>
      <c r="B54" s="4" t="s">
        <v>14</v>
      </c>
      <c r="C54" s="4" t="s">
        <v>10</v>
      </c>
      <c r="D54" s="4" t="s">
        <v>17</v>
      </c>
      <c r="E54" s="3" t="n">
        <f aca="false">AVERAGE(INDEX(Resources!$B$2:$F$10,MATCH($B54,Resources!$A$2:$A$10,0),1),INDEX(Resources!$B$2:$F$10,MATCH($C54,Resources!$A$2:$A$10,0),1),INDEX(Resources!$B$2:$F$10,MATCH($D54,Resources!$A$2:$A$10,0),1))</f>
        <v>586.666666666667</v>
      </c>
      <c r="F54" s="3" t="s">
        <v>36</v>
      </c>
      <c r="G54" s="6" t="n">
        <f aca="false">(Weights!$C$5*IF(Weights!$D$5=0,$E54,INDEX(Resources!$B$2:$F$10,MATCH(CHOOSE(Weights!$D$5,$B54,$C54,$D54),Resources!$A$2:$A$10,0),MATCH(Weights!$E$5,Resources!$B$1:$F$1,0)))+Weights!$F$5*IF(Weights!$G$5=0,$E54,INDEX(Resources!$B$2:$F$10,MATCH(CHOOSE(Weights!$G$5,$B54,$C54,$D54),Resources!$A$2:$A$10,0),MATCH(Weights!$H$5,Resources!$B$1:$F$1,0)))+Weights!$I$5*IF(Weights!$J$5=0,$E54,INDEX(Resources!$B$2:$F$10,MATCH(CHOOSE(Weights!$J$5,$B54,$C54,$D54),Resources!$A$2:$A$10,0),MATCH(Weights!$K$5,Resources!$B$1:$F$1,0))))/10</f>
        <v>71.3333333333333</v>
      </c>
      <c r="H54" s="3" t="str">
        <f aca="false">IF(G54&lt;40,"Poor",IF(G54&lt;55,"Basic",IF(G54&lt;70,"Solid",IF(G54&lt;85,"Strong",IF(G54&lt;95,"Excellent","Exceptional")))))</f>
        <v>Strong</v>
      </c>
      <c r="I54" s="3" t="s">
        <v>37</v>
      </c>
      <c r="J54" s="6" t="n">
        <f aca="false">(Weights!$C$6*IF(Weights!$D$6=0,$E54,INDEX(Resources!$B$2:$F$10,MATCH(CHOOSE(Weights!$D$6,$B54,$C54,$D54),Resources!$A$2:$A$10,0),MATCH(Weights!$E$6,Resources!$B$1:$F$1,0)))+Weights!$F$6*IF(Weights!$G$6=0,$E54,INDEX(Resources!$B$2:$F$10,MATCH(CHOOSE(Weights!$G$6,$B54,$C54,$D54),Resources!$A$2:$A$10,0),MATCH(Weights!$H$6,Resources!$B$1:$F$1,0)))+Weights!$I$6*IF(Weights!$J$6=0,$E54,INDEX(Resources!$B$2:$F$10,MATCH(CHOOSE(Weights!$J$6,$B54,$C54,$D54),Resources!$A$2:$A$10,0),MATCH(Weights!$K$6,Resources!$B$1:$F$1,0))))/10</f>
        <v>67.1666666666667</v>
      </c>
      <c r="K54" s="3" t="str">
        <f aca="false">IF(J54&lt;40,"Poor",IF(J54&lt;55,"Basic",IF(J54&lt;70,"Solid",IF(J54&lt;85,"Strong",IF(J54&lt;95,"Excellent","Exceptional")))))</f>
        <v>Solid</v>
      </c>
      <c r="L54" s="3" t="s">
        <v>38</v>
      </c>
      <c r="M54" s="6" t="n">
        <f aca="false">(Weights!$C$7*IF(Weights!$D$7=0,$E54,INDEX(Resources!$B$2:$F$10,MATCH(CHOOSE(Weights!$D$7,$B54,$C54,$D54),Resources!$A$2:$A$10,0),MATCH(Weights!$E$7,Resources!$B$1:$F$1,0)))+Weights!$F$7*IF(Weights!$G$7=0,$E54,INDEX(Resources!$B$2:$F$10,MATCH(CHOOSE(Weights!$G$7,$B54,$C54,$D54),Resources!$A$2:$A$10,0),MATCH(Weights!$H$7,Resources!$B$1:$F$1,0)))+Weights!$I$7*IF(Weights!$J$7=0,$E54,INDEX(Resources!$B$2:$F$10,MATCH(CHOOSE(Weights!$J$7,$B54,$C54,$D54),Resources!$A$2:$A$10,0),MATCH(Weights!$K$7,Resources!$B$1:$F$1,0))))/10</f>
        <v>47.7833333333333</v>
      </c>
      <c r="N54" s="3" t="str">
        <f aca="false">IF(M54&lt;40,"Poor",IF(M54&lt;55,"Basic",IF(M54&lt;70,"Solid",IF(M54&lt;85,"Strong",IF(M54&lt;95,"Excellent","Exceptional")))))</f>
        <v>Basic</v>
      </c>
      <c r="O54" s="6" t="n">
        <f aca="false">MIN(100,MAX(G54,J54,M54)*(1+0.05*3))</f>
        <v>82.0333333333333</v>
      </c>
      <c r="P54" s="3" t="str">
        <f aca="false">IF(O54&lt;40,"Poor",IF(O54&lt;55,"Basic",IF(O54&lt;70,"Solid",IF(O54&lt;85,"Strong",IF(O54&lt;95,"Excellent","Exceptional")))))</f>
        <v>Strong</v>
      </c>
    </row>
    <row r="55" customFormat="false" ht="15" hidden="false" customHeight="true" outlineLevel="0" collapsed="false">
      <c r="A55" s="3" t="s">
        <v>35</v>
      </c>
      <c r="B55" s="4" t="s">
        <v>14</v>
      </c>
      <c r="C55" s="4" t="s">
        <v>10</v>
      </c>
      <c r="D55" s="4" t="s">
        <v>18</v>
      </c>
      <c r="E55" s="3" t="n">
        <f aca="false">AVERAGE(INDEX(Resources!$B$2:$F$10,MATCH($B55,Resources!$A$2:$A$10,0),1),INDEX(Resources!$B$2:$F$10,MATCH($C55,Resources!$A$2:$A$10,0),1),INDEX(Resources!$B$2:$F$10,MATCH($D55,Resources!$A$2:$A$10,0),1))</f>
        <v>656.666666666667</v>
      </c>
      <c r="F55" s="3" t="s">
        <v>36</v>
      </c>
      <c r="G55" s="6" t="n">
        <f aca="false">(Weights!$C$5*IF(Weights!$D$5=0,$E55,INDEX(Resources!$B$2:$F$10,MATCH(CHOOSE(Weights!$D$5,$B55,$C55,$D55),Resources!$A$2:$A$10,0),MATCH(Weights!$E$5,Resources!$B$1:$F$1,0)))+Weights!$F$5*IF(Weights!$G$5=0,$E55,INDEX(Resources!$B$2:$F$10,MATCH(CHOOSE(Weights!$G$5,$B55,$C55,$D55),Resources!$A$2:$A$10,0),MATCH(Weights!$H$5,Resources!$B$1:$F$1,0)))+Weights!$I$5*IF(Weights!$J$5=0,$E55,INDEX(Resources!$B$2:$F$10,MATCH(CHOOSE(Weights!$J$5,$B55,$C55,$D55),Resources!$A$2:$A$10,0),MATCH(Weights!$K$5,Resources!$B$1:$F$1,0))))/10</f>
        <v>72.7333333333333</v>
      </c>
      <c r="H55" s="3" t="str">
        <f aca="false">IF(G55&lt;40,"Poor",IF(G55&lt;55,"Basic",IF(G55&lt;70,"Solid",IF(G55&lt;85,"Strong",IF(G55&lt;95,"Excellent","Exceptional")))))</f>
        <v>Strong</v>
      </c>
      <c r="I55" s="3" t="s">
        <v>37</v>
      </c>
      <c r="J55" s="6" t="n">
        <f aca="false">(Weights!$C$6*IF(Weights!$D$6=0,$E55,INDEX(Resources!$B$2:$F$10,MATCH(CHOOSE(Weights!$D$6,$B55,$C55,$D55),Resources!$A$2:$A$10,0),MATCH(Weights!$E$6,Resources!$B$1:$F$1,0)))+Weights!$F$6*IF(Weights!$G$6=0,$E55,INDEX(Resources!$B$2:$F$10,MATCH(CHOOSE(Weights!$G$6,$B55,$C55,$D55),Resources!$A$2:$A$10,0),MATCH(Weights!$H$6,Resources!$B$1:$F$1,0)))+Weights!$I$6*IF(Weights!$J$6=0,$E55,INDEX(Resources!$B$2:$F$10,MATCH(CHOOSE(Weights!$J$6,$B55,$C55,$D55),Resources!$A$2:$A$10,0),MATCH(Weights!$K$6,Resources!$B$1:$F$1,0))))/10</f>
        <v>68.9166666666667</v>
      </c>
      <c r="K55" s="3" t="str">
        <f aca="false">IF(J55&lt;40,"Poor",IF(J55&lt;55,"Basic",IF(J55&lt;70,"Solid",IF(J55&lt;85,"Strong",IF(J55&lt;95,"Excellent","Exceptional")))))</f>
        <v>Solid</v>
      </c>
      <c r="L55" s="3" t="s">
        <v>38</v>
      </c>
      <c r="M55" s="6" t="n">
        <f aca="false">(Weights!$C$7*IF(Weights!$D$7=0,$E55,INDEX(Resources!$B$2:$F$10,MATCH(CHOOSE(Weights!$D$7,$B55,$C55,$D55),Resources!$A$2:$A$10,0),MATCH(Weights!$E$7,Resources!$B$1:$F$1,0)))+Weights!$F$7*IF(Weights!$G$7=0,$E55,INDEX(Resources!$B$2:$F$10,MATCH(CHOOSE(Weights!$G$7,$B55,$C55,$D55),Resources!$A$2:$A$10,0),MATCH(Weights!$H$7,Resources!$B$1:$F$1,0)))+Weights!$I$7*IF(Weights!$J$7=0,$E55,INDEX(Resources!$B$2:$F$10,MATCH(CHOOSE(Weights!$J$7,$B55,$C55,$D55),Resources!$A$2:$A$10,0),MATCH(Weights!$K$7,Resources!$B$1:$F$1,0))))/10</f>
        <v>68.5333333333333</v>
      </c>
      <c r="N55" s="3" t="str">
        <f aca="false">IF(M55&lt;40,"Poor",IF(M55&lt;55,"Basic",IF(M55&lt;70,"Solid",IF(M55&lt;85,"Strong",IF(M55&lt;95,"Excellent","Exceptional")))))</f>
        <v>Solid</v>
      </c>
      <c r="O55" s="6" t="n">
        <f aca="false">MIN(100,MAX(G55,J55,M55)*(1+0.05*3))</f>
        <v>83.6433333333333</v>
      </c>
      <c r="P55" s="3" t="str">
        <f aca="false">IF(O55&lt;40,"Poor",IF(O55&lt;55,"Basic",IF(O55&lt;70,"Solid",IF(O55&lt;85,"Strong",IF(O55&lt;95,"Excellent","Exceptional")))))</f>
        <v>Strong</v>
      </c>
    </row>
    <row r="56" customFormat="false" ht="15" hidden="false" customHeight="true" outlineLevel="0" collapsed="false">
      <c r="A56" s="3" t="s">
        <v>39</v>
      </c>
      <c r="B56" s="4" t="s">
        <v>7</v>
      </c>
      <c r="C56" s="4" t="s">
        <v>7</v>
      </c>
      <c r="D56" s="4" t="s">
        <v>15</v>
      </c>
      <c r="E56" s="3" t="n">
        <f aca="false">AVERAGE(INDEX(Resources!$B$2:$F$10,MATCH($B56,Resources!$A$2:$A$10,0),1),INDEX(Resources!$B$2:$F$10,MATCH($C56,Resources!$A$2:$A$10,0),1),INDEX(Resources!$B$2:$F$10,MATCH($D56,Resources!$A$2:$A$10,0),1))</f>
        <v>573.333333333333</v>
      </c>
      <c r="F56" s="3" t="s">
        <v>40</v>
      </c>
      <c r="G56" s="6" t="n">
        <f aca="false">(Weights!$C$8*IF(Weights!$D$8=0,$E56,INDEX(Resources!$B$2:$F$10,MATCH(CHOOSE(Weights!$D$8,$B56,$C56,$D56),Resources!$A$2:$A$10,0),MATCH(Weights!$E$8,Resources!$B$1:$F$1,0)))+Weights!$F$8*IF(Weights!$G$8=0,$E56,INDEX(Resources!$B$2:$F$10,MATCH(CHOOSE(Weights!$G$8,$B56,$C56,$D56),Resources!$A$2:$A$10,0),MATCH(Weights!$H$8,Resources!$B$1:$F$1,0)))+Weights!$I$8*IF(Weights!$J$8=0,$E56,INDEX(Resources!$B$2:$F$10,MATCH(CHOOSE(Weights!$J$8,$B56,$C56,$D56),Resources!$A$2:$A$10,0),MATCH(Weights!$K$8,Resources!$B$1:$F$1,0))))/10</f>
        <v>60.3833333333333</v>
      </c>
      <c r="H56" s="3" t="str">
        <f aca="false">IF(G56&lt;40,"Poor",IF(G56&lt;55,"Basic",IF(G56&lt;70,"Solid",IF(G56&lt;85,"Strong",IF(G56&lt;95,"Excellent","Exceptional")))))</f>
        <v>Solid</v>
      </c>
      <c r="I56" s="3" t="s">
        <v>41</v>
      </c>
      <c r="J56" s="6" t="n">
        <f aca="false">(Weights!$C$9*IF(Weights!$D$9=0,$E56,INDEX(Resources!$B$2:$F$10,MATCH(CHOOSE(Weights!$D$9,$B56,$C56,$D56),Resources!$A$2:$A$10,0),MATCH(Weights!$E$9,Resources!$B$1:$F$1,0)))+Weights!$F$9*IF(Weights!$G$9=0,$E56,INDEX(Resources!$B$2:$F$10,MATCH(CHOOSE(Weights!$G$9,$B56,$C56,$D56),Resources!$A$2:$A$10,0),MATCH(Weights!$H$9,Resources!$B$1:$F$1,0)))+Weights!$I$9*IF(Weights!$J$9=0,$E56,INDEX(Resources!$B$2:$F$10,MATCH(CHOOSE(Weights!$J$9,$B56,$C56,$D56),Resources!$A$2:$A$10,0),MATCH(Weights!$K$9,Resources!$B$1:$F$1,0))))/10</f>
        <v>70.3666666666667</v>
      </c>
      <c r="K56" s="3" t="str">
        <f aca="false">IF(J56&lt;40,"Poor",IF(J56&lt;55,"Basic",IF(J56&lt;70,"Solid",IF(J56&lt;85,"Strong",IF(J56&lt;95,"Excellent","Exceptional")))))</f>
        <v>Strong</v>
      </c>
      <c r="L56" s="3" t="s">
        <v>42</v>
      </c>
      <c r="M56" s="6" t="n">
        <f aca="false">(Weights!$C$10*IF(Weights!$D$10=0,$E56,INDEX(Resources!$B$2:$F$10,MATCH(CHOOSE(Weights!$D$10,$B56,$C56,$D56),Resources!$A$2:$A$10,0),MATCH(Weights!$E$10,Resources!$B$1:$F$1,0)))+Weights!$F$10*IF(Weights!$G$10=0,$E56,INDEX(Resources!$B$2:$F$10,MATCH(CHOOSE(Weights!$G$10,$B56,$C56,$D56),Resources!$A$2:$A$10,0),MATCH(Weights!$H$10,Resources!$B$1:$F$1,0)))+Weights!$I$10*IF(Weights!$J$10=0,$E56,INDEX(Resources!$B$2:$F$10,MATCH(CHOOSE(Weights!$J$10,$B56,$C56,$D56),Resources!$A$2:$A$10,0),MATCH(Weights!$K$10,Resources!$B$1:$F$1,0))))/10</f>
        <v>58.2666666666667</v>
      </c>
      <c r="N56" s="3" t="str">
        <f aca="false">IF(M56&lt;40,"Poor",IF(M56&lt;55,"Basic",IF(M56&lt;70,"Solid",IF(M56&lt;85,"Strong",IF(M56&lt;95,"Excellent","Exceptional")))))</f>
        <v>Solid</v>
      </c>
      <c r="O56" s="6" t="n">
        <f aca="false">MIN(100,MAX(G56,J56,M56)*(1+0.05*3))</f>
        <v>80.9216666666667</v>
      </c>
      <c r="P56" s="3" t="str">
        <f aca="false">IF(O56&lt;40,"Poor",IF(O56&lt;55,"Basic",IF(O56&lt;70,"Solid",IF(O56&lt;85,"Strong",IF(O56&lt;95,"Excellent","Exceptional")))))</f>
        <v>Strong</v>
      </c>
    </row>
    <row r="57" customFormat="false" ht="15" hidden="false" customHeight="true" outlineLevel="0" collapsed="false">
      <c r="A57" s="3" t="s">
        <v>39</v>
      </c>
      <c r="B57" s="4" t="s">
        <v>7</v>
      </c>
      <c r="C57" s="4" t="s">
        <v>7</v>
      </c>
      <c r="D57" s="4" t="s">
        <v>17</v>
      </c>
      <c r="E57" s="3" t="n">
        <f aca="false">AVERAGE(INDEX(Resources!$B$2:$F$10,MATCH($B57,Resources!$A$2:$A$10,0),1),INDEX(Resources!$B$2:$F$10,MATCH($C57,Resources!$A$2:$A$10,0),1),INDEX(Resources!$B$2:$F$10,MATCH($D57,Resources!$A$2:$A$10,0),1))</f>
        <v>543.333333333333</v>
      </c>
      <c r="F57" s="3" t="s">
        <v>40</v>
      </c>
      <c r="G57" s="6" t="n">
        <f aca="false">(Weights!$C$8*IF(Weights!$D$8=0,$E57,INDEX(Resources!$B$2:$F$10,MATCH(CHOOSE(Weights!$D$8,$B57,$C57,$D57),Resources!$A$2:$A$10,0),MATCH(Weights!$E$8,Resources!$B$1:$F$1,0)))+Weights!$F$8*IF(Weights!$G$8=0,$E57,INDEX(Resources!$B$2:$F$10,MATCH(CHOOSE(Weights!$G$8,$B57,$C57,$D57),Resources!$A$2:$A$10,0),MATCH(Weights!$H$8,Resources!$B$1:$F$1,0)))+Weights!$I$8*IF(Weights!$J$8=0,$E57,INDEX(Resources!$B$2:$F$10,MATCH(CHOOSE(Weights!$J$8,$B57,$C57,$D57),Resources!$A$2:$A$10,0),MATCH(Weights!$K$8,Resources!$B$1:$F$1,0))))/10</f>
        <v>59.6333333333333</v>
      </c>
      <c r="H57" s="3" t="str">
        <f aca="false">IF(G57&lt;40,"Poor",IF(G57&lt;55,"Basic",IF(G57&lt;70,"Solid",IF(G57&lt;85,"Strong",IF(G57&lt;95,"Excellent","Exceptional")))))</f>
        <v>Solid</v>
      </c>
      <c r="I57" s="3" t="s">
        <v>41</v>
      </c>
      <c r="J57" s="6" t="n">
        <f aca="false">(Weights!$C$9*IF(Weights!$D$9=0,$E57,INDEX(Resources!$B$2:$F$10,MATCH(CHOOSE(Weights!$D$9,$B57,$C57,$D57),Resources!$A$2:$A$10,0),MATCH(Weights!$E$9,Resources!$B$1:$F$1,0)))+Weights!$F$9*IF(Weights!$G$9=0,$E57,INDEX(Resources!$B$2:$F$10,MATCH(CHOOSE(Weights!$G$9,$B57,$C57,$D57),Resources!$A$2:$A$10,0),MATCH(Weights!$H$9,Resources!$B$1:$F$1,0)))+Weights!$I$9*IF(Weights!$J$9=0,$E57,INDEX(Resources!$B$2:$F$10,MATCH(CHOOSE(Weights!$J$9,$B57,$C57,$D57),Resources!$A$2:$A$10,0),MATCH(Weights!$K$9,Resources!$B$1:$F$1,0))))/10</f>
        <v>49.6666666666667</v>
      </c>
      <c r="K57" s="3" t="str">
        <f aca="false">IF(J57&lt;40,"Poor",IF(J57&lt;55,"Basic",IF(J57&lt;70,"Solid",IF(J57&lt;85,"Strong",IF(J57&lt;95,"Excellent","Exceptional")))))</f>
        <v>Basic</v>
      </c>
      <c r="L57" s="3" t="s">
        <v>42</v>
      </c>
      <c r="M57" s="6" t="n">
        <f aca="false">(Weights!$C$10*IF(Weights!$D$10=0,$E57,INDEX(Resources!$B$2:$F$10,MATCH(CHOOSE(Weights!$D$10,$B57,$C57,$D57),Resources!$A$2:$A$10,0),MATCH(Weights!$E$10,Resources!$B$1:$F$1,0)))+Weights!$F$10*IF(Weights!$G$10=0,$E57,INDEX(Resources!$B$2:$F$10,MATCH(CHOOSE(Weights!$G$10,$B57,$C57,$D57),Resources!$A$2:$A$10,0),MATCH(Weights!$H$10,Resources!$B$1:$F$1,0)))+Weights!$I$10*IF(Weights!$J$10=0,$E57,INDEX(Resources!$B$2:$F$10,MATCH(CHOOSE(Weights!$J$10,$B57,$C57,$D57),Resources!$A$2:$A$10,0),MATCH(Weights!$K$10,Resources!$B$1:$F$1,0))))/10</f>
        <v>57.2166666666667</v>
      </c>
      <c r="N57" s="3" t="str">
        <f aca="false">IF(M57&lt;40,"Poor",IF(M57&lt;55,"Basic",IF(M57&lt;70,"Solid",IF(M57&lt;85,"Strong",IF(M57&lt;95,"Excellent","Exceptional")))))</f>
        <v>Solid</v>
      </c>
      <c r="O57" s="6" t="n">
        <f aca="false">MIN(100,MAX(G57,J57,M57)*(1+0.05*3))</f>
        <v>68.5783333333333</v>
      </c>
      <c r="P57" s="3" t="str">
        <f aca="false">IF(O57&lt;40,"Poor",IF(O57&lt;55,"Basic",IF(O57&lt;70,"Solid",IF(O57&lt;85,"Strong",IF(O57&lt;95,"Excellent","Exceptional")))))</f>
        <v>Solid</v>
      </c>
    </row>
    <row r="58" customFormat="false" ht="15" hidden="false" customHeight="true" outlineLevel="0" collapsed="false">
      <c r="A58" s="3" t="s">
        <v>39</v>
      </c>
      <c r="B58" s="4" t="s">
        <v>7</v>
      </c>
      <c r="C58" s="4" t="s">
        <v>7</v>
      </c>
      <c r="D58" s="4" t="s">
        <v>18</v>
      </c>
      <c r="E58" s="3" t="n">
        <f aca="false">AVERAGE(INDEX(Resources!$B$2:$F$10,MATCH($B58,Resources!$A$2:$A$10,0),1),INDEX(Resources!$B$2:$F$10,MATCH($C58,Resources!$A$2:$A$10,0),1),INDEX(Resources!$B$2:$F$10,MATCH($D58,Resources!$A$2:$A$10,0),1))</f>
        <v>613.333333333333</v>
      </c>
      <c r="F58" s="3" t="s">
        <v>40</v>
      </c>
      <c r="G58" s="6" t="n">
        <f aca="false">(Weights!$C$8*IF(Weights!$D$8=0,$E58,INDEX(Resources!$B$2:$F$10,MATCH(CHOOSE(Weights!$D$8,$B58,$C58,$D58),Resources!$A$2:$A$10,0),MATCH(Weights!$E$8,Resources!$B$1:$F$1,0)))+Weights!$F$8*IF(Weights!$G$8=0,$E58,INDEX(Resources!$B$2:$F$10,MATCH(CHOOSE(Weights!$G$8,$B58,$C58,$D58),Resources!$A$2:$A$10,0),MATCH(Weights!$H$8,Resources!$B$1:$F$1,0)))+Weights!$I$8*IF(Weights!$J$8=0,$E58,INDEX(Resources!$B$2:$F$10,MATCH(CHOOSE(Weights!$J$8,$B58,$C58,$D58),Resources!$A$2:$A$10,0),MATCH(Weights!$K$8,Resources!$B$1:$F$1,0))))/10</f>
        <v>61.3833333333333</v>
      </c>
      <c r="H58" s="3" t="str">
        <f aca="false">IF(G58&lt;40,"Poor",IF(G58&lt;55,"Basic",IF(G58&lt;70,"Solid",IF(G58&lt;85,"Strong",IF(G58&lt;95,"Excellent","Exceptional")))))</f>
        <v>Solid</v>
      </c>
      <c r="I58" s="3" t="s">
        <v>41</v>
      </c>
      <c r="J58" s="6" t="n">
        <f aca="false">(Weights!$C$9*IF(Weights!$D$9=0,$E58,INDEX(Resources!$B$2:$F$10,MATCH(CHOOSE(Weights!$D$9,$B58,$C58,$D58),Resources!$A$2:$A$10,0),MATCH(Weights!$E$9,Resources!$B$1:$F$1,0)))+Weights!$F$9*IF(Weights!$G$9=0,$E58,INDEX(Resources!$B$2:$F$10,MATCH(CHOOSE(Weights!$G$9,$B58,$C58,$D58),Resources!$A$2:$A$10,0),MATCH(Weights!$H$9,Resources!$B$1:$F$1,0)))+Weights!$I$9*IF(Weights!$J$9=0,$E58,INDEX(Resources!$B$2:$F$10,MATCH(CHOOSE(Weights!$J$9,$B58,$C58,$D58),Resources!$A$2:$A$10,0),MATCH(Weights!$K$9,Resources!$B$1:$F$1,0))))/10</f>
        <v>63.9666666666667</v>
      </c>
      <c r="K58" s="3" t="str">
        <f aca="false">IF(J58&lt;40,"Poor",IF(J58&lt;55,"Basic",IF(J58&lt;70,"Solid",IF(J58&lt;85,"Strong",IF(J58&lt;95,"Excellent","Exceptional")))))</f>
        <v>Solid</v>
      </c>
      <c r="L58" s="3" t="s">
        <v>42</v>
      </c>
      <c r="M58" s="6" t="n">
        <f aca="false">(Weights!$C$10*IF(Weights!$D$10=0,$E58,INDEX(Resources!$B$2:$F$10,MATCH(CHOOSE(Weights!$D$10,$B58,$C58,$D58),Resources!$A$2:$A$10,0),MATCH(Weights!$E$10,Resources!$B$1:$F$1,0)))+Weights!$F$10*IF(Weights!$G$10=0,$E58,INDEX(Resources!$B$2:$F$10,MATCH(CHOOSE(Weights!$G$10,$B58,$C58,$D58),Resources!$A$2:$A$10,0),MATCH(Weights!$H$10,Resources!$B$1:$F$1,0)))+Weights!$I$10*IF(Weights!$J$10=0,$E58,INDEX(Resources!$B$2:$F$10,MATCH(CHOOSE(Weights!$J$10,$B58,$C58,$D58),Resources!$A$2:$A$10,0),MATCH(Weights!$K$10,Resources!$B$1:$F$1,0))))/10</f>
        <v>59.6666666666667</v>
      </c>
      <c r="N58" s="3" t="str">
        <f aca="false">IF(M58&lt;40,"Poor",IF(M58&lt;55,"Basic",IF(M58&lt;70,"Solid",IF(M58&lt;85,"Strong",IF(M58&lt;95,"Excellent","Exceptional")))))</f>
        <v>Solid</v>
      </c>
      <c r="O58" s="6" t="n">
        <f aca="false">MIN(100,MAX(G58,J58,M58)*(1+0.05*3))</f>
        <v>73.5616666666667</v>
      </c>
      <c r="P58" s="3" t="str">
        <f aca="false">IF(O58&lt;40,"Poor",IF(O58&lt;55,"Basic",IF(O58&lt;70,"Solid",IF(O58&lt;85,"Strong",IF(O58&lt;95,"Excellent","Exceptional")))))</f>
        <v>Strong</v>
      </c>
    </row>
    <row r="59" customFormat="false" ht="15" hidden="false" customHeight="true" outlineLevel="0" collapsed="false">
      <c r="A59" s="3" t="s">
        <v>39</v>
      </c>
      <c r="B59" s="4" t="s">
        <v>7</v>
      </c>
      <c r="C59" s="4" t="s">
        <v>9</v>
      </c>
      <c r="D59" s="4" t="s">
        <v>15</v>
      </c>
      <c r="E59" s="3" t="n">
        <f aca="false">AVERAGE(INDEX(Resources!$B$2:$F$10,MATCH($B59,Resources!$A$2:$A$10,0),1),INDEX(Resources!$B$2:$F$10,MATCH($C59,Resources!$A$2:$A$10,0),1),INDEX(Resources!$B$2:$F$10,MATCH($D59,Resources!$A$2:$A$10,0),1))</f>
        <v>630</v>
      </c>
      <c r="F59" s="3" t="s">
        <v>40</v>
      </c>
      <c r="G59" s="6" t="n">
        <f aca="false">(Weights!$C$8*IF(Weights!$D$8=0,$E59,INDEX(Resources!$B$2:$F$10,MATCH(CHOOSE(Weights!$D$8,$B59,$C59,$D59),Resources!$A$2:$A$10,0),MATCH(Weights!$E$8,Resources!$B$1:$F$1,0)))+Weights!$F$8*IF(Weights!$G$8=0,$E59,INDEX(Resources!$B$2:$F$10,MATCH(CHOOSE(Weights!$G$8,$B59,$C59,$D59),Resources!$A$2:$A$10,0),MATCH(Weights!$H$8,Resources!$B$1:$F$1,0)))+Weights!$I$8*IF(Weights!$J$8=0,$E59,INDEX(Resources!$B$2:$F$10,MATCH(CHOOSE(Weights!$J$8,$B59,$C59,$D59),Resources!$A$2:$A$10,0),MATCH(Weights!$K$8,Resources!$B$1:$F$1,0))))/10</f>
        <v>67.8</v>
      </c>
      <c r="H59" s="3" t="str">
        <f aca="false">IF(G59&lt;40,"Poor",IF(G59&lt;55,"Basic",IF(G59&lt;70,"Solid",IF(G59&lt;85,"Strong",IF(G59&lt;95,"Excellent","Exceptional")))))</f>
        <v>Solid</v>
      </c>
      <c r="I59" s="3" t="s">
        <v>41</v>
      </c>
      <c r="J59" s="6" t="n">
        <f aca="false">(Weights!$C$9*IF(Weights!$D$9=0,$E59,INDEX(Resources!$B$2:$F$10,MATCH(CHOOSE(Weights!$D$9,$B59,$C59,$D59),Resources!$A$2:$A$10,0),MATCH(Weights!$E$9,Resources!$B$1:$F$1,0)))+Weights!$F$9*IF(Weights!$G$9=0,$E59,INDEX(Resources!$B$2:$F$10,MATCH(CHOOSE(Weights!$G$9,$B59,$C59,$D59),Resources!$A$2:$A$10,0),MATCH(Weights!$H$9,Resources!$B$1:$F$1,0)))+Weights!$I$9*IF(Weights!$J$9=0,$E59,INDEX(Resources!$B$2:$F$10,MATCH(CHOOSE(Weights!$J$9,$B59,$C59,$D59),Resources!$A$2:$A$10,0),MATCH(Weights!$K$9,Resources!$B$1:$F$1,0))))/10</f>
        <v>71.5</v>
      </c>
      <c r="K59" s="3" t="str">
        <f aca="false">IF(J59&lt;40,"Poor",IF(J59&lt;55,"Basic",IF(J59&lt;70,"Solid",IF(J59&lt;85,"Strong",IF(J59&lt;95,"Excellent","Exceptional")))))</f>
        <v>Strong</v>
      </c>
      <c r="L59" s="3" t="s">
        <v>42</v>
      </c>
      <c r="M59" s="6" t="n">
        <f aca="false">(Weights!$C$10*IF(Weights!$D$10=0,$E59,INDEX(Resources!$B$2:$F$10,MATCH(CHOOSE(Weights!$D$10,$B59,$C59,$D59),Resources!$A$2:$A$10,0),MATCH(Weights!$E$10,Resources!$B$1:$F$1,0)))+Weights!$F$10*IF(Weights!$G$10=0,$E59,INDEX(Resources!$B$2:$F$10,MATCH(CHOOSE(Weights!$G$10,$B59,$C59,$D59),Resources!$A$2:$A$10,0),MATCH(Weights!$H$10,Resources!$B$1:$F$1,0)))+Weights!$I$10*IF(Weights!$J$10=0,$E59,INDEX(Resources!$B$2:$F$10,MATCH(CHOOSE(Weights!$J$10,$B59,$C59,$D59),Resources!$A$2:$A$10,0),MATCH(Weights!$K$10,Resources!$B$1:$F$1,0))))/10</f>
        <v>69.25</v>
      </c>
      <c r="N59" s="3" t="str">
        <f aca="false">IF(M59&lt;40,"Poor",IF(M59&lt;55,"Basic",IF(M59&lt;70,"Solid",IF(M59&lt;85,"Strong",IF(M59&lt;95,"Excellent","Exceptional")))))</f>
        <v>Solid</v>
      </c>
      <c r="O59" s="6" t="n">
        <f aca="false">MIN(100,MAX(G59,J59,M59)*(1+0.05*3))</f>
        <v>82.225</v>
      </c>
      <c r="P59" s="3" t="str">
        <f aca="false">IF(O59&lt;40,"Poor",IF(O59&lt;55,"Basic",IF(O59&lt;70,"Solid",IF(O59&lt;85,"Strong",IF(O59&lt;95,"Excellent","Exceptional")))))</f>
        <v>Strong</v>
      </c>
    </row>
    <row r="60" customFormat="false" ht="15" hidden="false" customHeight="true" outlineLevel="0" collapsed="false">
      <c r="A60" s="3" t="s">
        <v>39</v>
      </c>
      <c r="B60" s="4" t="s">
        <v>7</v>
      </c>
      <c r="C60" s="4" t="s">
        <v>9</v>
      </c>
      <c r="D60" s="4" t="s">
        <v>17</v>
      </c>
      <c r="E60" s="3" t="n">
        <f aca="false">AVERAGE(INDEX(Resources!$B$2:$F$10,MATCH($B60,Resources!$A$2:$A$10,0),1),INDEX(Resources!$B$2:$F$10,MATCH($C60,Resources!$A$2:$A$10,0),1),INDEX(Resources!$B$2:$F$10,MATCH($D60,Resources!$A$2:$A$10,0),1))</f>
        <v>600</v>
      </c>
      <c r="F60" s="3" t="s">
        <v>40</v>
      </c>
      <c r="G60" s="6" t="n">
        <f aca="false">(Weights!$C$8*IF(Weights!$D$8=0,$E60,INDEX(Resources!$B$2:$F$10,MATCH(CHOOSE(Weights!$D$8,$B60,$C60,$D60),Resources!$A$2:$A$10,0),MATCH(Weights!$E$8,Resources!$B$1:$F$1,0)))+Weights!$F$8*IF(Weights!$G$8=0,$E60,INDEX(Resources!$B$2:$F$10,MATCH(CHOOSE(Weights!$G$8,$B60,$C60,$D60),Resources!$A$2:$A$10,0),MATCH(Weights!$H$8,Resources!$B$1:$F$1,0)))+Weights!$I$8*IF(Weights!$J$8=0,$E60,INDEX(Resources!$B$2:$F$10,MATCH(CHOOSE(Weights!$J$8,$B60,$C60,$D60),Resources!$A$2:$A$10,0),MATCH(Weights!$K$8,Resources!$B$1:$F$1,0))))/10</f>
        <v>67.05</v>
      </c>
      <c r="H60" s="3" t="str">
        <f aca="false">IF(G60&lt;40,"Poor",IF(G60&lt;55,"Basic",IF(G60&lt;70,"Solid",IF(G60&lt;85,"Strong",IF(G60&lt;95,"Excellent","Exceptional")))))</f>
        <v>Solid</v>
      </c>
      <c r="I60" s="3" t="s">
        <v>41</v>
      </c>
      <c r="J60" s="6" t="n">
        <f aca="false">(Weights!$C$9*IF(Weights!$D$9=0,$E60,INDEX(Resources!$B$2:$F$10,MATCH(CHOOSE(Weights!$D$9,$B60,$C60,$D60),Resources!$A$2:$A$10,0),MATCH(Weights!$E$9,Resources!$B$1:$F$1,0)))+Weights!$F$9*IF(Weights!$G$9=0,$E60,INDEX(Resources!$B$2:$F$10,MATCH(CHOOSE(Weights!$G$9,$B60,$C60,$D60),Resources!$A$2:$A$10,0),MATCH(Weights!$H$9,Resources!$B$1:$F$1,0)))+Weights!$I$9*IF(Weights!$J$9=0,$E60,INDEX(Resources!$B$2:$F$10,MATCH(CHOOSE(Weights!$J$9,$B60,$C60,$D60),Resources!$A$2:$A$10,0),MATCH(Weights!$K$9,Resources!$B$1:$F$1,0))))/10</f>
        <v>50.8</v>
      </c>
      <c r="K60" s="3" t="str">
        <f aca="false">IF(J60&lt;40,"Poor",IF(J60&lt;55,"Basic",IF(J60&lt;70,"Solid",IF(J60&lt;85,"Strong",IF(J60&lt;95,"Excellent","Exceptional")))))</f>
        <v>Basic</v>
      </c>
      <c r="L60" s="3" t="s">
        <v>42</v>
      </c>
      <c r="M60" s="6" t="n">
        <f aca="false">(Weights!$C$10*IF(Weights!$D$10=0,$E60,INDEX(Resources!$B$2:$F$10,MATCH(CHOOSE(Weights!$D$10,$B60,$C60,$D60),Resources!$A$2:$A$10,0),MATCH(Weights!$E$10,Resources!$B$1:$F$1,0)))+Weights!$F$10*IF(Weights!$G$10=0,$E60,INDEX(Resources!$B$2:$F$10,MATCH(CHOOSE(Weights!$G$10,$B60,$C60,$D60),Resources!$A$2:$A$10,0),MATCH(Weights!$H$10,Resources!$B$1:$F$1,0)))+Weights!$I$10*IF(Weights!$J$10=0,$E60,INDEX(Resources!$B$2:$F$10,MATCH(CHOOSE(Weights!$J$10,$B60,$C60,$D60),Resources!$A$2:$A$10,0),MATCH(Weights!$K$10,Resources!$B$1:$F$1,0))))/10</f>
        <v>68.2</v>
      </c>
      <c r="N60" s="3" t="str">
        <f aca="false">IF(M60&lt;40,"Poor",IF(M60&lt;55,"Basic",IF(M60&lt;70,"Solid",IF(M60&lt;85,"Strong",IF(M60&lt;95,"Excellent","Exceptional")))))</f>
        <v>Solid</v>
      </c>
      <c r="O60" s="6" t="n">
        <f aca="false">MIN(100,MAX(G60,J60,M60)*(1+0.05*3))</f>
        <v>78.43</v>
      </c>
      <c r="P60" s="3" t="str">
        <f aca="false">IF(O60&lt;40,"Poor",IF(O60&lt;55,"Basic",IF(O60&lt;70,"Solid",IF(O60&lt;85,"Strong",IF(O60&lt;95,"Excellent","Exceptional")))))</f>
        <v>Strong</v>
      </c>
    </row>
    <row r="61" customFormat="false" ht="15" hidden="false" customHeight="true" outlineLevel="0" collapsed="false">
      <c r="A61" s="3" t="s">
        <v>39</v>
      </c>
      <c r="B61" s="4" t="s">
        <v>7</v>
      </c>
      <c r="C61" s="4" t="s">
        <v>9</v>
      </c>
      <c r="D61" s="4" t="s">
        <v>18</v>
      </c>
      <c r="E61" s="3" t="n">
        <f aca="false">AVERAGE(INDEX(Resources!$B$2:$F$10,MATCH($B61,Resources!$A$2:$A$10,0),1),INDEX(Resources!$B$2:$F$10,MATCH($C61,Resources!$A$2:$A$10,0),1),INDEX(Resources!$B$2:$F$10,MATCH($D61,Resources!$A$2:$A$10,0),1))</f>
        <v>670</v>
      </c>
      <c r="F61" s="3" t="s">
        <v>40</v>
      </c>
      <c r="G61" s="6" t="n">
        <f aca="false">(Weights!$C$8*IF(Weights!$D$8=0,$E61,INDEX(Resources!$B$2:$F$10,MATCH(CHOOSE(Weights!$D$8,$B61,$C61,$D61),Resources!$A$2:$A$10,0),MATCH(Weights!$E$8,Resources!$B$1:$F$1,0)))+Weights!$F$8*IF(Weights!$G$8=0,$E61,INDEX(Resources!$B$2:$F$10,MATCH(CHOOSE(Weights!$G$8,$B61,$C61,$D61),Resources!$A$2:$A$10,0),MATCH(Weights!$H$8,Resources!$B$1:$F$1,0)))+Weights!$I$8*IF(Weights!$J$8=0,$E61,INDEX(Resources!$B$2:$F$10,MATCH(CHOOSE(Weights!$J$8,$B61,$C61,$D61),Resources!$A$2:$A$10,0),MATCH(Weights!$K$8,Resources!$B$1:$F$1,0))))/10</f>
        <v>68.8</v>
      </c>
      <c r="H61" s="3" t="str">
        <f aca="false">IF(G61&lt;40,"Poor",IF(G61&lt;55,"Basic",IF(G61&lt;70,"Solid",IF(G61&lt;85,"Strong",IF(G61&lt;95,"Excellent","Exceptional")))))</f>
        <v>Solid</v>
      </c>
      <c r="I61" s="3" t="s">
        <v>41</v>
      </c>
      <c r="J61" s="6" t="n">
        <f aca="false">(Weights!$C$9*IF(Weights!$D$9=0,$E61,INDEX(Resources!$B$2:$F$10,MATCH(CHOOSE(Weights!$D$9,$B61,$C61,$D61),Resources!$A$2:$A$10,0),MATCH(Weights!$E$9,Resources!$B$1:$F$1,0)))+Weights!$F$9*IF(Weights!$G$9=0,$E61,INDEX(Resources!$B$2:$F$10,MATCH(CHOOSE(Weights!$G$9,$B61,$C61,$D61),Resources!$A$2:$A$10,0),MATCH(Weights!$H$9,Resources!$B$1:$F$1,0)))+Weights!$I$9*IF(Weights!$J$9=0,$E61,INDEX(Resources!$B$2:$F$10,MATCH(CHOOSE(Weights!$J$9,$B61,$C61,$D61),Resources!$A$2:$A$10,0),MATCH(Weights!$K$9,Resources!$B$1:$F$1,0))))/10</f>
        <v>65.1</v>
      </c>
      <c r="K61" s="3" t="str">
        <f aca="false">IF(J61&lt;40,"Poor",IF(J61&lt;55,"Basic",IF(J61&lt;70,"Solid",IF(J61&lt;85,"Strong",IF(J61&lt;95,"Excellent","Exceptional")))))</f>
        <v>Solid</v>
      </c>
      <c r="L61" s="3" t="s">
        <v>42</v>
      </c>
      <c r="M61" s="6" t="n">
        <f aca="false">(Weights!$C$10*IF(Weights!$D$10=0,$E61,INDEX(Resources!$B$2:$F$10,MATCH(CHOOSE(Weights!$D$10,$B61,$C61,$D61),Resources!$A$2:$A$10,0),MATCH(Weights!$E$10,Resources!$B$1:$F$1,0)))+Weights!$F$10*IF(Weights!$G$10=0,$E61,INDEX(Resources!$B$2:$F$10,MATCH(CHOOSE(Weights!$G$10,$B61,$C61,$D61),Resources!$A$2:$A$10,0),MATCH(Weights!$H$10,Resources!$B$1:$F$1,0)))+Weights!$I$10*IF(Weights!$J$10=0,$E61,INDEX(Resources!$B$2:$F$10,MATCH(CHOOSE(Weights!$J$10,$B61,$C61,$D61),Resources!$A$2:$A$10,0),MATCH(Weights!$K$10,Resources!$B$1:$F$1,0))))/10</f>
        <v>70.65</v>
      </c>
      <c r="N61" s="3" t="str">
        <f aca="false">IF(M61&lt;40,"Poor",IF(M61&lt;55,"Basic",IF(M61&lt;70,"Solid",IF(M61&lt;85,"Strong",IF(M61&lt;95,"Excellent","Exceptional")))))</f>
        <v>Strong</v>
      </c>
      <c r="O61" s="6" t="n">
        <f aca="false">MIN(100,MAX(G61,J61,M61)*(1+0.05*3))</f>
        <v>81.2475</v>
      </c>
      <c r="P61" s="3" t="str">
        <f aca="false">IF(O61&lt;40,"Poor",IF(O61&lt;55,"Basic",IF(O61&lt;70,"Solid",IF(O61&lt;85,"Strong",IF(O61&lt;95,"Excellent","Exceptional")))))</f>
        <v>Strong</v>
      </c>
    </row>
    <row r="62" customFormat="false" ht="15" hidden="false" customHeight="true" outlineLevel="0" collapsed="false">
      <c r="A62" s="3" t="s">
        <v>39</v>
      </c>
      <c r="B62" s="4" t="s">
        <v>7</v>
      </c>
      <c r="C62" s="4" t="s">
        <v>10</v>
      </c>
      <c r="D62" s="4" t="s">
        <v>15</v>
      </c>
      <c r="E62" s="3" t="n">
        <f aca="false">AVERAGE(INDEX(Resources!$B$2:$F$10,MATCH($B62,Resources!$A$2:$A$10,0),1),INDEX(Resources!$B$2:$F$10,MATCH($C62,Resources!$A$2:$A$10,0),1),INDEX(Resources!$B$2:$F$10,MATCH($D62,Resources!$A$2:$A$10,0),1))</f>
        <v>603.333333333333</v>
      </c>
      <c r="F62" s="3" t="s">
        <v>40</v>
      </c>
      <c r="G62" s="6" t="n">
        <f aca="false">(Weights!$C$8*IF(Weights!$D$8=0,$E62,INDEX(Resources!$B$2:$F$10,MATCH(CHOOSE(Weights!$D$8,$B62,$C62,$D62),Resources!$A$2:$A$10,0),MATCH(Weights!$E$8,Resources!$B$1:$F$1,0)))+Weights!$F$8*IF(Weights!$G$8=0,$E62,INDEX(Resources!$B$2:$F$10,MATCH(CHOOSE(Weights!$G$8,$B62,$C62,$D62),Resources!$A$2:$A$10,0),MATCH(Weights!$H$8,Resources!$B$1:$F$1,0)))+Weights!$I$8*IF(Weights!$J$8=0,$E62,INDEX(Resources!$B$2:$F$10,MATCH(CHOOSE(Weights!$J$8,$B62,$C62,$D62),Resources!$A$2:$A$10,0),MATCH(Weights!$K$8,Resources!$B$1:$F$1,0))))/10</f>
        <v>70.7333333333333</v>
      </c>
      <c r="H62" s="3" t="str">
        <f aca="false">IF(G62&lt;40,"Poor",IF(G62&lt;55,"Basic",IF(G62&lt;70,"Solid",IF(G62&lt;85,"Strong",IF(G62&lt;95,"Excellent","Exceptional")))))</f>
        <v>Strong</v>
      </c>
      <c r="I62" s="3" t="s">
        <v>41</v>
      </c>
      <c r="J62" s="6" t="n">
        <f aca="false">(Weights!$C$9*IF(Weights!$D$9=0,$E62,INDEX(Resources!$B$2:$F$10,MATCH(CHOOSE(Weights!$D$9,$B62,$C62,$D62),Resources!$A$2:$A$10,0),MATCH(Weights!$E$9,Resources!$B$1:$F$1,0)))+Weights!$F$9*IF(Weights!$G$9=0,$E62,INDEX(Resources!$B$2:$F$10,MATCH(CHOOSE(Weights!$G$9,$B62,$C62,$D62),Resources!$A$2:$A$10,0),MATCH(Weights!$H$9,Resources!$B$1:$F$1,0)))+Weights!$I$9*IF(Weights!$J$9=0,$E62,INDEX(Resources!$B$2:$F$10,MATCH(CHOOSE(Weights!$J$9,$B62,$C62,$D62),Resources!$A$2:$A$10,0),MATCH(Weights!$K$9,Resources!$B$1:$F$1,0))))/10</f>
        <v>70.9666666666667</v>
      </c>
      <c r="K62" s="3" t="str">
        <f aca="false">IF(J62&lt;40,"Poor",IF(J62&lt;55,"Basic",IF(J62&lt;70,"Solid",IF(J62&lt;85,"Strong",IF(J62&lt;95,"Excellent","Exceptional")))))</f>
        <v>Strong</v>
      </c>
      <c r="L62" s="3" t="s">
        <v>42</v>
      </c>
      <c r="M62" s="6" t="n">
        <f aca="false">(Weights!$C$10*IF(Weights!$D$10=0,$E62,INDEX(Resources!$B$2:$F$10,MATCH(CHOOSE(Weights!$D$10,$B62,$C62,$D62),Resources!$A$2:$A$10,0),MATCH(Weights!$E$10,Resources!$B$1:$F$1,0)))+Weights!$F$10*IF(Weights!$G$10=0,$E62,INDEX(Resources!$B$2:$F$10,MATCH(CHOOSE(Weights!$G$10,$B62,$C62,$D62),Resources!$A$2:$A$10,0),MATCH(Weights!$H$10,Resources!$B$1:$F$1,0)))+Weights!$I$10*IF(Weights!$J$10=0,$E62,INDEX(Resources!$B$2:$F$10,MATCH(CHOOSE(Weights!$J$10,$B62,$C62,$D62),Resources!$A$2:$A$10,0),MATCH(Weights!$K$10,Resources!$B$1:$F$1,0))))/10</f>
        <v>73.7166666666667</v>
      </c>
      <c r="N62" s="3" t="str">
        <f aca="false">IF(M62&lt;40,"Poor",IF(M62&lt;55,"Basic",IF(M62&lt;70,"Solid",IF(M62&lt;85,"Strong",IF(M62&lt;95,"Excellent","Exceptional")))))</f>
        <v>Strong</v>
      </c>
      <c r="O62" s="6" t="n">
        <f aca="false">MIN(100,MAX(G62,J62,M62)*(1+0.05*3))</f>
        <v>84.7741666666667</v>
      </c>
      <c r="P62" s="3" t="str">
        <f aca="false">IF(O62&lt;40,"Poor",IF(O62&lt;55,"Basic",IF(O62&lt;70,"Solid",IF(O62&lt;85,"Strong",IF(O62&lt;95,"Excellent","Exceptional")))))</f>
        <v>Strong</v>
      </c>
    </row>
    <row r="63" customFormat="false" ht="15" hidden="false" customHeight="true" outlineLevel="0" collapsed="false">
      <c r="A63" s="3" t="s">
        <v>39</v>
      </c>
      <c r="B63" s="4" t="s">
        <v>7</v>
      </c>
      <c r="C63" s="4" t="s">
        <v>10</v>
      </c>
      <c r="D63" s="4" t="s">
        <v>17</v>
      </c>
      <c r="E63" s="3" t="n">
        <f aca="false">AVERAGE(INDEX(Resources!$B$2:$F$10,MATCH($B63,Resources!$A$2:$A$10,0),1),INDEX(Resources!$B$2:$F$10,MATCH($C63,Resources!$A$2:$A$10,0),1),INDEX(Resources!$B$2:$F$10,MATCH($D63,Resources!$A$2:$A$10,0),1))</f>
        <v>573.333333333333</v>
      </c>
      <c r="F63" s="3" t="s">
        <v>40</v>
      </c>
      <c r="G63" s="6" t="n">
        <f aca="false">(Weights!$C$8*IF(Weights!$D$8=0,$E63,INDEX(Resources!$B$2:$F$10,MATCH(CHOOSE(Weights!$D$8,$B63,$C63,$D63),Resources!$A$2:$A$10,0),MATCH(Weights!$E$8,Resources!$B$1:$F$1,0)))+Weights!$F$8*IF(Weights!$G$8=0,$E63,INDEX(Resources!$B$2:$F$10,MATCH(CHOOSE(Weights!$G$8,$B63,$C63,$D63),Resources!$A$2:$A$10,0),MATCH(Weights!$H$8,Resources!$B$1:$F$1,0)))+Weights!$I$8*IF(Weights!$J$8=0,$E63,INDEX(Resources!$B$2:$F$10,MATCH(CHOOSE(Weights!$J$8,$B63,$C63,$D63),Resources!$A$2:$A$10,0),MATCH(Weights!$K$8,Resources!$B$1:$F$1,0))))/10</f>
        <v>69.9833333333333</v>
      </c>
      <c r="H63" s="3" t="str">
        <f aca="false">IF(G63&lt;40,"Poor",IF(G63&lt;55,"Basic",IF(G63&lt;70,"Solid",IF(G63&lt;85,"Strong",IF(G63&lt;95,"Excellent","Exceptional")))))</f>
        <v>Solid</v>
      </c>
      <c r="I63" s="3" t="s">
        <v>41</v>
      </c>
      <c r="J63" s="6" t="n">
        <f aca="false">(Weights!$C$9*IF(Weights!$D$9=0,$E63,INDEX(Resources!$B$2:$F$10,MATCH(CHOOSE(Weights!$D$9,$B63,$C63,$D63),Resources!$A$2:$A$10,0),MATCH(Weights!$E$9,Resources!$B$1:$F$1,0)))+Weights!$F$9*IF(Weights!$G$9=0,$E63,INDEX(Resources!$B$2:$F$10,MATCH(CHOOSE(Weights!$G$9,$B63,$C63,$D63),Resources!$A$2:$A$10,0),MATCH(Weights!$H$9,Resources!$B$1:$F$1,0)))+Weights!$I$9*IF(Weights!$J$9=0,$E63,INDEX(Resources!$B$2:$F$10,MATCH(CHOOSE(Weights!$J$9,$B63,$C63,$D63),Resources!$A$2:$A$10,0),MATCH(Weights!$K$9,Resources!$B$1:$F$1,0))))/10</f>
        <v>50.2666666666667</v>
      </c>
      <c r="K63" s="3" t="str">
        <f aca="false">IF(J63&lt;40,"Poor",IF(J63&lt;55,"Basic",IF(J63&lt;70,"Solid",IF(J63&lt;85,"Strong",IF(J63&lt;95,"Excellent","Exceptional")))))</f>
        <v>Basic</v>
      </c>
      <c r="L63" s="3" t="s">
        <v>42</v>
      </c>
      <c r="M63" s="6" t="n">
        <f aca="false">(Weights!$C$10*IF(Weights!$D$10=0,$E63,INDEX(Resources!$B$2:$F$10,MATCH(CHOOSE(Weights!$D$10,$B63,$C63,$D63),Resources!$A$2:$A$10,0),MATCH(Weights!$E$10,Resources!$B$1:$F$1,0)))+Weights!$F$10*IF(Weights!$G$10=0,$E63,INDEX(Resources!$B$2:$F$10,MATCH(CHOOSE(Weights!$G$10,$B63,$C63,$D63),Resources!$A$2:$A$10,0),MATCH(Weights!$H$10,Resources!$B$1:$F$1,0)))+Weights!$I$10*IF(Weights!$J$10=0,$E63,INDEX(Resources!$B$2:$F$10,MATCH(CHOOSE(Weights!$J$10,$B63,$C63,$D63),Resources!$A$2:$A$10,0),MATCH(Weights!$K$10,Resources!$B$1:$F$1,0))))/10</f>
        <v>72.6666666666667</v>
      </c>
      <c r="N63" s="3" t="str">
        <f aca="false">IF(M63&lt;40,"Poor",IF(M63&lt;55,"Basic",IF(M63&lt;70,"Solid",IF(M63&lt;85,"Strong",IF(M63&lt;95,"Excellent","Exceptional")))))</f>
        <v>Strong</v>
      </c>
      <c r="O63" s="6" t="n">
        <f aca="false">MIN(100,MAX(G63,J63,M63)*(1+0.05*3))</f>
        <v>83.5666666666667</v>
      </c>
      <c r="P63" s="3" t="str">
        <f aca="false">IF(O63&lt;40,"Poor",IF(O63&lt;55,"Basic",IF(O63&lt;70,"Solid",IF(O63&lt;85,"Strong",IF(O63&lt;95,"Excellent","Exceptional")))))</f>
        <v>Strong</v>
      </c>
    </row>
    <row r="64" customFormat="false" ht="15" hidden="false" customHeight="true" outlineLevel="0" collapsed="false">
      <c r="A64" s="3" t="s">
        <v>39</v>
      </c>
      <c r="B64" s="4" t="s">
        <v>7</v>
      </c>
      <c r="C64" s="4" t="s">
        <v>10</v>
      </c>
      <c r="D64" s="4" t="s">
        <v>18</v>
      </c>
      <c r="E64" s="3" t="n">
        <f aca="false">AVERAGE(INDEX(Resources!$B$2:$F$10,MATCH($B64,Resources!$A$2:$A$10,0),1),INDEX(Resources!$B$2:$F$10,MATCH($C64,Resources!$A$2:$A$10,0),1),INDEX(Resources!$B$2:$F$10,MATCH($D64,Resources!$A$2:$A$10,0),1))</f>
        <v>643.333333333333</v>
      </c>
      <c r="F64" s="3" t="s">
        <v>40</v>
      </c>
      <c r="G64" s="6" t="n">
        <f aca="false">(Weights!$C$8*IF(Weights!$D$8=0,$E64,INDEX(Resources!$B$2:$F$10,MATCH(CHOOSE(Weights!$D$8,$B64,$C64,$D64),Resources!$A$2:$A$10,0),MATCH(Weights!$E$8,Resources!$B$1:$F$1,0)))+Weights!$F$8*IF(Weights!$G$8=0,$E64,INDEX(Resources!$B$2:$F$10,MATCH(CHOOSE(Weights!$G$8,$B64,$C64,$D64),Resources!$A$2:$A$10,0),MATCH(Weights!$H$8,Resources!$B$1:$F$1,0)))+Weights!$I$8*IF(Weights!$J$8=0,$E64,INDEX(Resources!$B$2:$F$10,MATCH(CHOOSE(Weights!$J$8,$B64,$C64,$D64),Resources!$A$2:$A$10,0),MATCH(Weights!$K$8,Resources!$B$1:$F$1,0))))/10</f>
        <v>71.7333333333333</v>
      </c>
      <c r="H64" s="3" t="str">
        <f aca="false">IF(G64&lt;40,"Poor",IF(G64&lt;55,"Basic",IF(G64&lt;70,"Solid",IF(G64&lt;85,"Strong",IF(G64&lt;95,"Excellent","Exceptional")))))</f>
        <v>Strong</v>
      </c>
      <c r="I64" s="3" t="s">
        <v>41</v>
      </c>
      <c r="J64" s="6" t="n">
        <f aca="false">(Weights!$C$9*IF(Weights!$D$9=0,$E64,INDEX(Resources!$B$2:$F$10,MATCH(CHOOSE(Weights!$D$9,$B64,$C64,$D64),Resources!$A$2:$A$10,0),MATCH(Weights!$E$9,Resources!$B$1:$F$1,0)))+Weights!$F$9*IF(Weights!$G$9=0,$E64,INDEX(Resources!$B$2:$F$10,MATCH(CHOOSE(Weights!$G$9,$B64,$C64,$D64),Resources!$A$2:$A$10,0),MATCH(Weights!$H$9,Resources!$B$1:$F$1,0)))+Weights!$I$9*IF(Weights!$J$9=0,$E64,INDEX(Resources!$B$2:$F$10,MATCH(CHOOSE(Weights!$J$9,$B64,$C64,$D64),Resources!$A$2:$A$10,0),MATCH(Weights!$K$9,Resources!$B$1:$F$1,0))))/10</f>
        <v>64.5666666666667</v>
      </c>
      <c r="K64" s="3" t="str">
        <f aca="false">IF(J64&lt;40,"Poor",IF(J64&lt;55,"Basic",IF(J64&lt;70,"Solid",IF(J64&lt;85,"Strong",IF(J64&lt;95,"Excellent","Exceptional")))))</f>
        <v>Solid</v>
      </c>
      <c r="L64" s="3" t="s">
        <v>42</v>
      </c>
      <c r="M64" s="6" t="n">
        <f aca="false">(Weights!$C$10*IF(Weights!$D$10=0,$E64,INDEX(Resources!$B$2:$F$10,MATCH(CHOOSE(Weights!$D$10,$B64,$C64,$D64),Resources!$A$2:$A$10,0),MATCH(Weights!$E$10,Resources!$B$1:$F$1,0)))+Weights!$F$10*IF(Weights!$G$10=0,$E64,INDEX(Resources!$B$2:$F$10,MATCH(CHOOSE(Weights!$G$10,$B64,$C64,$D64),Resources!$A$2:$A$10,0),MATCH(Weights!$H$10,Resources!$B$1:$F$1,0)))+Weights!$I$10*IF(Weights!$J$10=0,$E64,INDEX(Resources!$B$2:$F$10,MATCH(CHOOSE(Weights!$J$10,$B64,$C64,$D64),Resources!$A$2:$A$10,0),MATCH(Weights!$K$10,Resources!$B$1:$F$1,0))))/10</f>
        <v>75.1166666666667</v>
      </c>
      <c r="N64" s="3" t="str">
        <f aca="false">IF(M64&lt;40,"Poor",IF(M64&lt;55,"Basic",IF(M64&lt;70,"Solid",IF(M64&lt;85,"Strong",IF(M64&lt;95,"Excellent","Exceptional")))))</f>
        <v>Strong</v>
      </c>
      <c r="O64" s="6" t="n">
        <f aca="false">MIN(100,MAX(G64,J64,M64)*(1+0.05*3))</f>
        <v>86.3841666666667</v>
      </c>
      <c r="P64" s="3" t="str">
        <f aca="false">IF(O64&lt;40,"Poor",IF(O64&lt;55,"Basic",IF(O64&lt;70,"Solid",IF(O64&lt;85,"Strong",IF(O64&lt;95,"Excellent","Exceptional")))))</f>
        <v>Excellent</v>
      </c>
    </row>
    <row r="65" customFormat="false" ht="15" hidden="false" customHeight="true" outlineLevel="0" collapsed="false">
      <c r="A65" s="3" t="s">
        <v>39</v>
      </c>
      <c r="B65" s="4" t="s">
        <v>9</v>
      </c>
      <c r="C65" s="4" t="s">
        <v>7</v>
      </c>
      <c r="D65" s="4" t="s">
        <v>15</v>
      </c>
      <c r="E65" s="3" t="n">
        <f aca="false">AVERAGE(INDEX(Resources!$B$2:$F$10,MATCH($B65,Resources!$A$2:$A$10,0),1),INDEX(Resources!$B$2:$F$10,MATCH($C65,Resources!$A$2:$A$10,0),1),INDEX(Resources!$B$2:$F$10,MATCH($D65,Resources!$A$2:$A$10,0),1))</f>
        <v>630</v>
      </c>
      <c r="F65" s="3" t="s">
        <v>40</v>
      </c>
      <c r="G65" s="6" t="n">
        <f aca="false">(Weights!$C$8*IF(Weights!$D$8=0,$E65,INDEX(Resources!$B$2:$F$10,MATCH(CHOOSE(Weights!$D$8,$B65,$C65,$D65),Resources!$A$2:$A$10,0),MATCH(Weights!$E$8,Resources!$B$1:$F$1,0)))+Weights!$F$8*IF(Weights!$G$8=0,$E65,INDEX(Resources!$B$2:$F$10,MATCH(CHOOSE(Weights!$G$8,$B65,$C65,$D65),Resources!$A$2:$A$10,0),MATCH(Weights!$H$8,Resources!$B$1:$F$1,0)))+Weights!$I$8*IF(Weights!$J$8=0,$E65,INDEX(Resources!$B$2:$F$10,MATCH(CHOOSE(Weights!$J$8,$B65,$C65,$D65),Resources!$A$2:$A$10,0),MATCH(Weights!$K$8,Resources!$B$1:$F$1,0))))/10</f>
        <v>70.8</v>
      </c>
      <c r="H65" s="3" t="str">
        <f aca="false">IF(G65&lt;40,"Poor",IF(G65&lt;55,"Basic",IF(G65&lt;70,"Solid",IF(G65&lt;85,"Strong",IF(G65&lt;95,"Excellent","Exceptional")))))</f>
        <v>Strong</v>
      </c>
      <c r="I65" s="3" t="s">
        <v>41</v>
      </c>
      <c r="J65" s="6" t="n">
        <f aca="false">(Weights!$C$9*IF(Weights!$D$9=0,$E65,INDEX(Resources!$B$2:$F$10,MATCH(CHOOSE(Weights!$D$9,$B65,$C65,$D65),Resources!$A$2:$A$10,0),MATCH(Weights!$E$9,Resources!$B$1:$F$1,0)))+Weights!$F$9*IF(Weights!$G$9=0,$E65,INDEX(Resources!$B$2:$F$10,MATCH(CHOOSE(Weights!$G$9,$B65,$C65,$D65),Resources!$A$2:$A$10,0),MATCH(Weights!$H$9,Resources!$B$1:$F$1,0)))+Weights!$I$9*IF(Weights!$J$9=0,$E65,INDEX(Resources!$B$2:$F$10,MATCH(CHOOSE(Weights!$J$9,$B65,$C65,$D65),Resources!$A$2:$A$10,0),MATCH(Weights!$K$9,Resources!$B$1:$F$1,0))))/10</f>
        <v>81.5</v>
      </c>
      <c r="K65" s="3" t="str">
        <f aca="false">IF(J65&lt;40,"Poor",IF(J65&lt;55,"Basic",IF(J65&lt;70,"Solid",IF(J65&lt;85,"Strong",IF(J65&lt;95,"Excellent","Exceptional")))))</f>
        <v>Strong</v>
      </c>
      <c r="L65" s="3" t="s">
        <v>42</v>
      </c>
      <c r="M65" s="6" t="n">
        <f aca="false">(Weights!$C$10*IF(Weights!$D$10=0,$E65,INDEX(Resources!$B$2:$F$10,MATCH(CHOOSE(Weights!$D$10,$B65,$C65,$D65),Resources!$A$2:$A$10,0),MATCH(Weights!$E$10,Resources!$B$1:$F$1,0)))+Weights!$F$10*IF(Weights!$G$10=0,$E65,INDEX(Resources!$B$2:$F$10,MATCH(CHOOSE(Weights!$G$10,$B65,$C65,$D65),Resources!$A$2:$A$10,0),MATCH(Weights!$H$10,Resources!$B$1:$F$1,0)))+Weights!$I$10*IF(Weights!$J$10=0,$E65,INDEX(Resources!$B$2:$F$10,MATCH(CHOOSE(Weights!$J$10,$B65,$C65,$D65),Resources!$A$2:$A$10,0),MATCH(Weights!$K$10,Resources!$B$1:$F$1,0))))/10</f>
        <v>64.25</v>
      </c>
      <c r="N65" s="3" t="str">
        <f aca="false">IF(M65&lt;40,"Poor",IF(M65&lt;55,"Basic",IF(M65&lt;70,"Solid",IF(M65&lt;85,"Strong",IF(M65&lt;95,"Excellent","Exceptional")))))</f>
        <v>Solid</v>
      </c>
      <c r="O65" s="6" t="n">
        <f aca="false">MIN(100,MAX(G65,J65,M65)*(1+0.05*3))</f>
        <v>93.725</v>
      </c>
      <c r="P65" s="3" t="str">
        <f aca="false">IF(O65&lt;40,"Poor",IF(O65&lt;55,"Basic",IF(O65&lt;70,"Solid",IF(O65&lt;85,"Strong",IF(O65&lt;95,"Excellent","Exceptional")))))</f>
        <v>Excellent</v>
      </c>
    </row>
    <row r="66" customFormat="false" ht="15" hidden="false" customHeight="true" outlineLevel="0" collapsed="false">
      <c r="A66" s="3" t="s">
        <v>39</v>
      </c>
      <c r="B66" s="4" t="s">
        <v>9</v>
      </c>
      <c r="C66" s="4" t="s">
        <v>7</v>
      </c>
      <c r="D66" s="4" t="s">
        <v>17</v>
      </c>
      <c r="E66" s="3" t="n">
        <f aca="false">AVERAGE(INDEX(Resources!$B$2:$F$10,MATCH($B66,Resources!$A$2:$A$10,0),1),INDEX(Resources!$B$2:$F$10,MATCH($C66,Resources!$A$2:$A$10,0),1),INDEX(Resources!$B$2:$F$10,MATCH($D66,Resources!$A$2:$A$10,0),1))</f>
        <v>600</v>
      </c>
      <c r="F66" s="3" t="s">
        <v>40</v>
      </c>
      <c r="G66" s="6" t="n">
        <f aca="false">(Weights!$C$8*IF(Weights!$D$8=0,$E66,INDEX(Resources!$B$2:$F$10,MATCH(CHOOSE(Weights!$D$8,$B66,$C66,$D66),Resources!$A$2:$A$10,0),MATCH(Weights!$E$8,Resources!$B$1:$F$1,0)))+Weights!$F$8*IF(Weights!$G$8=0,$E66,INDEX(Resources!$B$2:$F$10,MATCH(CHOOSE(Weights!$G$8,$B66,$C66,$D66),Resources!$A$2:$A$10,0),MATCH(Weights!$H$8,Resources!$B$1:$F$1,0)))+Weights!$I$8*IF(Weights!$J$8=0,$E66,INDEX(Resources!$B$2:$F$10,MATCH(CHOOSE(Weights!$J$8,$B66,$C66,$D66),Resources!$A$2:$A$10,0),MATCH(Weights!$K$8,Resources!$B$1:$F$1,0))))/10</f>
        <v>70.05</v>
      </c>
      <c r="H66" s="3" t="str">
        <f aca="false">IF(G66&lt;40,"Poor",IF(G66&lt;55,"Basic",IF(G66&lt;70,"Solid",IF(G66&lt;85,"Strong",IF(G66&lt;95,"Excellent","Exceptional")))))</f>
        <v>Strong</v>
      </c>
      <c r="I66" s="3" t="s">
        <v>41</v>
      </c>
      <c r="J66" s="6" t="n">
        <f aca="false">(Weights!$C$9*IF(Weights!$D$9=0,$E66,INDEX(Resources!$B$2:$F$10,MATCH(CHOOSE(Weights!$D$9,$B66,$C66,$D66),Resources!$A$2:$A$10,0),MATCH(Weights!$E$9,Resources!$B$1:$F$1,0)))+Weights!$F$9*IF(Weights!$G$9=0,$E66,INDEX(Resources!$B$2:$F$10,MATCH(CHOOSE(Weights!$G$9,$B66,$C66,$D66),Resources!$A$2:$A$10,0),MATCH(Weights!$H$9,Resources!$B$1:$F$1,0)))+Weights!$I$9*IF(Weights!$J$9=0,$E66,INDEX(Resources!$B$2:$F$10,MATCH(CHOOSE(Weights!$J$9,$B66,$C66,$D66),Resources!$A$2:$A$10,0),MATCH(Weights!$K$9,Resources!$B$1:$F$1,0))))/10</f>
        <v>60.8</v>
      </c>
      <c r="K66" s="3" t="str">
        <f aca="false">IF(J66&lt;40,"Poor",IF(J66&lt;55,"Basic",IF(J66&lt;70,"Solid",IF(J66&lt;85,"Strong",IF(J66&lt;95,"Excellent","Exceptional")))))</f>
        <v>Solid</v>
      </c>
      <c r="L66" s="3" t="s">
        <v>42</v>
      </c>
      <c r="M66" s="6" t="n">
        <f aca="false">(Weights!$C$10*IF(Weights!$D$10=0,$E66,INDEX(Resources!$B$2:$F$10,MATCH(CHOOSE(Weights!$D$10,$B66,$C66,$D66),Resources!$A$2:$A$10,0),MATCH(Weights!$E$10,Resources!$B$1:$F$1,0)))+Weights!$F$10*IF(Weights!$G$10=0,$E66,INDEX(Resources!$B$2:$F$10,MATCH(CHOOSE(Weights!$G$10,$B66,$C66,$D66),Resources!$A$2:$A$10,0),MATCH(Weights!$H$10,Resources!$B$1:$F$1,0)))+Weights!$I$10*IF(Weights!$J$10=0,$E66,INDEX(Resources!$B$2:$F$10,MATCH(CHOOSE(Weights!$J$10,$B66,$C66,$D66),Resources!$A$2:$A$10,0),MATCH(Weights!$K$10,Resources!$B$1:$F$1,0))))/10</f>
        <v>63.2</v>
      </c>
      <c r="N66" s="3" t="str">
        <f aca="false">IF(M66&lt;40,"Poor",IF(M66&lt;55,"Basic",IF(M66&lt;70,"Solid",IF(M66&lt;85,"Strong",IF(M66&lt;95,"Excellent","Exceptional")))))</f>
        <v>Solid</v>
      </c>
      <c r="O66" s="6" t="n">
        <f aca="false">MIN(100,MAX(G66,J66,M66)*(1+0.05*3))</f>
        <v>80.5575</v>
      </c>
      <c r="P66" s="3" t="str">
        <f aca="false">IF(O66&lt;40,"Poor",IF(O66&lt;55,"Basic",IF(O66&lt;70,"Solid",IF(O66&lt;85,"Strong",IF(O66&lt;95,"Excellent","Exceptional")))))</f>
        <v>Strong</v>
      </c>
    </row>
    <row r="67" customFormat="false" ht="15" hidden="false" customHeight="true" outlineLevel="0" collapsed="false">
      <c r="A67" s="3" t="s">
        <v>39</v>
      </c>
      <c r="B67" s="4" t="s">
        <v>9</v>
      </c>
      <c r="C67" s="4" t="s">
        <v>7</v>
      </c>
      <c r="D67" s="4" t="s">
        <v>18</v>
      </c>
      <c r="E67" s="3" t="n">
        <f aca="false">AVERAGE(INDEX(Resources!$B$2:$F$10,MATCH($B67,Resources!$A$2:$A$10,0),1),INDEX(Resources!$B$2:$F$10,MATCH($C67,Resources!$A$2:$A$10,0),1),INDEX(Resources!$B$2:$F$10,MATCH($D67,Resources!$A$2:$A$10,0),1))</f>
        <v>670</v>
      </c>
      <c r="F67" s="3" t="s">
        <v>40</v>
      </c>
      <c r="G67" s="6" t="n">
        <f aca="false">(Weights!$C$8*IF(Weights!$D$8=0,$E67,INDEX(Resources!$B$2:$F$10,MATCH(CHOOSE(Weights!$D$8,$B67,$C67,$D67),Resources!$A$2:$A$10,0),MATCH(Weights!$E$8,Resources!$B$1:$F$1,0)))+Weights!$F$8*IF(Weights!$G$8=0,$E67,INDEX(Resources!$B$2:$F$10,MATCH(CHOOSE(Weights!$G$8,$B67,$C67,$D67),Resources!$A$2:$A$10,0),MATCH(Weights!$H$8,Resources!$B$1:$F$1,0)))+Weights!$I$8*IF(Weights!$J$8=0,$E67,INDEX(Resources!$B$2:$F$10,MATCH(CHOOSE(Weights!$J$8,$B67,$C67,$D67),Resources!$A$2:$A$10,0),MATCH(Weights!$K$8,Resources!$B$1:$F$1,0))))/10</f>
        <v>71.8</v>
      </c>
      <c r="H67" s="3" t="str">
        <f aca="false">IF(G67&lt;40,"Poor",IF(G67&lt;55,"Basic",IF(G67&lt;70,"Solid",IF(G67&lt;85,"Strong",IF(G67&lt;95,"Excellent","Exceptional")))))</f>
        <v>Strong</v>
      </c>
      <c r="I67" s="3" t="s">
        <v>41</v>
      </c>
      <c r="J67" s="6" t="n">
        <f aca="false">(Weights!$C$9*IF(Weights!$D$9=0,$E67,INDEX(Resources!$B$2:$F$10,MATCH(CHOOSE(Weights!$D$9,$B67,$C67,$D67),Resources!$A$2:$A$10,0),MATCH(Weights!$E$9,Resources!$B$1:$F$1,0)))+Weights!$F$9*IF(Weights!$G$9=0,$E67,INDEX(Resources!$B$2:$F$10,MATCH(CHOOSE(Weights!$G$9,$B67,$C67,$D67),Resources!$A$2:$A$10,0),MATCH(Weights!$H$9,Resources!$B$1:$F$1,0)))+Weights!$I$9*IF(Weights!$J$9=0,$E67,INDEX(Resources!$B$2:$F$10,MATCH(CHOOSE(Weights!$J$9,$B67,$C67,$D67),Resources!$A$2:$A$10,0),MATCH(Weights!$K$9,Resources!$B$1:$F$1,0))))/10</f>
        <v>75.1</v>
      </c>
      <c r="K67" s="3" t="str">
        <f aca="false">IF(J67&lt;40,"Poor",IF(J67&lt;55,"Basic",IF(J67&lt;70,"Solid",IF(J67&lt;85,"Strong",IF(J67&lt;95,"Excellent","Exceptional")))))</f>
        <v>Strong</v>
      </c>
      <c r="L67" s="3" t="s">
        <v>42</v>
      </c>
      <c r="M67" s="6" t="n">
        <f aca="false">(Weights!$C$10*IF(Weights!$D$10=0,$E67,INDEX(Resources!$B$2:$F$10,MATCH(CHOOSE(Weights!$D$10,$B67,$C67,$D67),Resources!$A$2:$A$10,0),MATCH(Weights!$E$10,Resources!$B$1:$F$1,0)))+Weights!$F$10*IF(Weights!$G$10=0,$E67,INDEX(Resources!$B$2:$F$10,MATCH(CHOOSE(Weights!$G$10,$B67,$C67,$D67),Resources!$A$2:$A$10,0),MATCH(Weights!$H$10,Resources!$B$1:$F$1,0)))+Weights!$I$10*IF(Weights!$J$10=0,$E67,INDEX(Resources!$B$2:$F$10,MATCH(CHOOSE(Weights!$J$10,$B67,$C67,$D67),Resources!$A$2:$A$10,0),MATCH(Weights!$K$10,Resources!$B$1:$F$1,0))))/10</f>
        <v>65.65</v>
      </c>
      <c r="N67" s="3" t="str">
        <f aca="false">IF(M67&lt;40,"Poor",IF(M67&lt;55,"Basic",IF(M67&lt;70,"Solid",IF(M67&lt;85,"Strong",IF(M67&lt;95,"Excellent","Exceptional")))))</f>
        <v>Solid</v>
      </c>
      <c r="O67" s="6" t="n">
        <f aca="false">MIN(100,MAX(G67,J67,M67)*(1+0.05*3))</f>
        <v>86.365</v>
      </c>
      <c r="P67" s="3" t="str">
        <f aca="false">IF(O67&lt;40,"Poor",IF(O67&lt;55,"Basic",IF(O67&lt;70,"Solid",IF(O67&lt;85,"Strong",IF(O67&lt;95,"Excellent","Exceptional")))))</f>
        <v>Excellent</v>
      </c>
    </row>
    <row r="68" customFormat="false" ht="15" hidden="false" customHeight="true" outlineLevel="0" collapsed="false">
      <c r="A68" s="3" t="s">
        <v>39</v>
      </c>
      <c r="B68" s="4" t="s">
        <v>9</v>
      </c>
      <c r="C68" s="4" t="s">
        <v>9</v>
      </c>
      <c r="D68" s="4" t="s">
        <v>15</v>
      </c>
      <c r="E68" s="3" t="n">
        <f aca="false">AVERAGE(INDEX(Resources!$B$2:$F$10,MATCH($B68,Resources!$A$2:$A$10,0),1),INDEX(Resources!$B$2:$F$10,MATCH($C68,Resources!$A$2:$A$10,0),1),INDEX(Resources!$B$2:$F$10,MATCH($D68,Resources!$A$2:$A$10,0),1))</f>
        <v>686.666666666667</v>
      </c>
      <c r="F68" s="3" t="s">
        <v>40</v>
      </c>
      <c r="G68" s="6" t="n">
        <f aca="false">(Weights!$C$8*IF(Weights!$D$8=0,$E68,INDEX(Resources!$B$2:$F$10,MATCH(CHOOSE(Weights!$D$8,$B68,$C68,$D68),Resources!$A$2:$A$10,0),MATCH(Weights!$E$8,Resources!$B$1:$F$1,0)))+Weights!$F$8*IF(Weights!$G$8=0,$E68,INDEX(Resources!$B$2:$F$10,MATCH(CHOOSE(Weights!$G$8,$B68,$C68,$D68),Resources!$A$2:$A$10,0),MATCH(Weights!$H$8,Resources!$B$1:$F$1,0)))+Weights!$I$8*IF(Weights!$J$8=0,$E68,INDEX(Resources!$B$2:$F$10,MATCH(CHOOSE(Weights!$J$8,$B68,$C68,$D68),Resources!$A$2:$A$10,0),MATCH(Weights!$K$8,Resources!$B$1:$F$1,0))))/10</f>
        <v>78.2166666666667</v>
      </c>
      <c r="H68" s="3" t="str">
        <f aca="false">IF(G68&lt;40,"Poor",IF(G68&lt;55,"Basic",IF(G68&lt;70,"Solid",IF(G68&lt;85,"Strong",IF(G68&lt;95,"Excellent","Exceptional")))))</f>
        <v>Strong</v>
      </c>
      <c r="I68" s="3" t="s">
        <v>41</v>
      </c>
      <c r="J68" s="6" t="n">
        <f aca="false">(Weights!$C$9*IF(Weights!$D$9=0,$E68,INDEX(Resources!$B$2:$F$10,MATCH(CHOOSE(Weights!$D$9,$B68,$C68,$D68),Resources!$A$2:$A$10,0),MATCH(Weights!$E$9,Resources!$B$1:$F$1,0)))+Weights!$F$9*IF(Weights!$G$9=0,$E68,INDEX(Resources!$B$2:$F$10,MATCH(CHOOSE(Weights!$G$9,$B68,$C68,$D68),Resources!$A$2:$A$10,0),MATCH(Weights!$H$9,Resources!$B$1:$F$1,0)))+Weights!$I$9*IF(Weights!$J$9=0,$E68,INDEX(Resources!$B$2:$F$10,MATCH(CHOOSE(Weights!$J$9,$B68,$C68,$D68),Resources!$A$2:$A$10,0),MATCH(Weights!$K$9,Resources!$B$1:$F$1,0))))/10</f>
        <v>82.6333333333333</v>
      </c>
      <c r="K68" s="3" t="str">
        <f aca="false">IF(J68&lt;40,"Poor",IF(J68&lt;55,"Basic",IF(J68&lt;70,"Solid",IF(J68&lt;85,"Strong",IF(J68&lt;95,"Excellent","Exceptional")))))</f>
        <v>Strong</v>
      </c>
      <c r="L68" s="3" t="s">
        <v>42</v>
      </c>
      <c r="M68" s="6" t="n">
        <f aca="false">(Weights!$C$10*IF(Weights!$D$10=0,$E68,INDEX(Resources!$B$2:$F$10,MATCH(CHOOSE(Weights!$D$10,$B68,$C68,$D68),Resources!$A$2:$A$10,0),MATCH(Weights!$E$10,Resources!$B$1:$F$1,0)))+Weights!$F$10*IF(Weights!$G$10=0,$E68,INDEX(Resources!$B$2:$F$10,MATCH(CHOOSE(Weights!$G$10,$B68,$C68,$D68),Resources!$A$2:$A$10,0),MATCH(Weights!$H$10,Resources!$B$1:$F$1,0)))+Weights!$I$10*IF(Weights!$J$10=0,$E68,INDEX(Resources!$B$2:$F$10,MATCH(CHOOSE(Weights!$J$10,$B68,$C68,$D68),Resources!$A$2:$A$10,0),MATCH(Weights!$K$10,Resources!$B$1:$F$1,0))))/10</f>
        <v>75.2333333333333</v>
      </c>
      <c r="N68" s="3" t="str">
        <f aca="false">IF(M68&lt;40,"Poor",IF(M68&lt;55,"Basic",IF(M68&lt;70,"Solid",IF(M68&lt;85,"Strong",IF(M68&lt;95,"Excellent","Exceptional")))))</f>
        <v>Strong</v>
      </c>
      <c r="O68" s="6" t="n">
        <f aca="false">MIN(100,MAX(G68,J68,M68)*(1+0.05*3))</f>
        <v>95.0283333333333</v>
      </c>
      <c r="P68" s="3" t="str">
        <f aca="false">IF(O68&lt;40,"Poor",IF(O68&lt;55,"Basic",IF(O68&lt;70,"Solid",IF(O68&lt;85,"Strong",IF(O68&lt;95,"Excellent","Exceptional")))))</f>
        <v>Exceptional</v>
      </c>
    </row>
    <row r="69" customFormat="false" ht="15" hidden="false" customHeight="true" outlineLevel="0" collapsed="false">
      <c r="A69" s="3" t="s">
        <v>39</v>
      </c>
      <c r="B69" s="4" t="s">
        <v>9</v>
      </c>
      <c r="C69" s="4" t="s">
        <v>9</v>
      </c>
      <c r="D69" s="4" t="s">
        <v>17</v>
      </c>
      <c r="E69" s="3" t="n">
        <f aca="false">AVERAGE(INDEX(Resources!$B$2:$F$10,MATCH($B69,Resources!$A$2:$A$10,0),1),INDEX(Resources!$B$2:$F$10,MATCH($C69,Resources!$A$2:$A$10,0),1),INDEX(Resources!$B$2:$F$10,MATCH($D69,Resources!$A$2:$A$10,0),1))</f>
        <v>656.666666666667</v>
      </c>
      <c r="F69" s="3" t="s">
        <v>40</v>
      </c>
      <c r="G69" s="6" t="n">
        <f aca="false">(Weights!$C$8*IF(Weights!$D$8=0,$E69,INDEX(Resources!$B$2:$F$10,MATCH(CHOOSE(Weights!$D$8,$B69,$C69,$D69),Resources!$A$2:$A$10,0),MATCH(Weights!$E$8,Resources!$B$1:$F$1,0)))+Weights!$F$8*IF(Weights!$G$8=0,$E69,INDEX(Resources!$B$2:$F$10,MATCH(CHOOSE(Weights!$G$8,$B69,$C69,$D69),Resources!$A$2:$A$10,0),MATCH(Weights!$H$8,Resources!$B$1:$F$1,0)))+Weights!$I$8*IF(Weights!$J$8=0,$E69,INDEX(Resources!$B$2:$F$10,MATCH(CHOOSE(Weights!$J$8,$B69,$C69,$D69),Resources!$A$2:$A$10,0),MATCH(Weights!$K$8,Resources!$B$1:$F$1,0))))/10</f>
        <v>77.4666666666667</v>
      </c>
      <c r="H69" s="3" t="str">
        <f aca="false">IF(G69&lt;40,"Poor",IF(G69&lt;55,"Basic",IF(G69&lt;70,"Solid",IF(G69&lt;85,"Strong",IF(G69&lt;95,"Excellent","Exceptional")))))</f>
        <v>Strong</v>
      </c>
      <c r="I69" s="3" t="s">
        <v>41</v>
      </c>
      <c r="J69" s="6" t="n">
        <f aca="false">(Weights!$C$9*IF(Weights!$D$9=0,$E69,INDEX(Resources!$B$2:$F$10,MATCH(CHOOSE(Weights!$D$9,$B69,$C69,$D69),Resources!$A$2:$A$10,0),MATCH(Weights!$E$9,Resources!$B$1:$F$1,0)))+Weights!$F$9*IF(Weights!$G$9=0,$E69,INDEX(Resources!$B$2:$F$10,MATCH(CHOOSE(Weights!$G$9,$B69,$C69,$D69),Resources!$A$2:$A$10,0),MATCH(Weights!$H$9,Resources!$B$1:$F$1,0)))+Weights!$I$9*IF(Weights!$J$9=0,$E69,INDEX(Resources!$B$2:$F$10,MATCH(CHOOSE(Weights!$J$9,$B69,$C69,$D69),Resources!$A$2:$A$10,0),MATCH(Weights!$K$9,Resources!$B$1:$F$1,0))))/10</f>
        <v>61.9333333333333</v>
      </c>
      <c r="K69" s="3" t="str">
        <f aca="false">IF(J69&lt;40,"Poor",IF(J69&lt;55,"Basic",IF(J69&lt;70,"Solid",IF(J69&lt;85,"Strong",IF(J69&lt;95,"Excellent","Exceptional")))))</f>
        <v>Solid</v>
      </c>
      <c r="L69" s="3" t="s">
        <v>42</v>
      </c>
      <c r="M69" s="6" t="n">
        <f aca="false">(Weights!$C$10*IF(Weights!$D$10=0,$E69,INDEX(Resources!$B$2:$F$10,MATCH(CHOOSE(Weights!$D$10,$B69,$C69,$D69),Resources!$A$2:$A$10,0),MATCH(Weights!$E$10,Resources!$B$1:$F$1,0)))+Weights!$F$10*IF(Weights!$G$10=0,$E69,INDEX(Resources!$B$2:$F$10,MATCH(CHOOSE(Weights!$G$10,$B69,$C69,$D69),Resources!$A$2:$A$10,0),MATCH(Weights!$H$10,Resources!$B$1:$F$1,0)))+Weights!$I$10*IF(Weights!$J$10=0,$E69,INDEX(Resources!$B$2:$F$10,MATCH(CHOOSE(Weights!$J$10,$B69,$C69,$D69),Resources!$A$2:$A$10,0),MATCH(Weights!$K$10,Resources!$B$1:$F$1,0))))/10</f>
        <v>74.1833333333333</v>
      </c>
      <c r="N69" s="3" t="str">
        <f aca="false">IF(M69&lt;40,"Poor",IF(M69&lt;55,"Basic",IF(M69&lt;70,"Solid",IF(M69&lt;85,"Strong",IF(M69&lt;95,"Excellent","Exceptional")))))</f>
        <v>Strong</v>
      </c>
      <c r="O69" s="6" t="n">
        <f aca="false">MIN(100,MAX(G69,J69,M69)*(1+0.05*3))</f>
        <v>89.0866666666667</v>
      </c>
      <c r="P69" s="3" t="str">
        <f aca="false">IF(O69&lt;40,"Poor",IF(O69&lt;55,"Basic",IF(O69&lt;70,"Solid",IF(O69&lt;85,"Strong",IF(O69&lt;95,"Excellent","Exceptional")))))</f>
        <v>Excellent</v>
      </c>
    </row>
    <row r="70" customFormat="false" ht="15" hidden="false" customHeight="true" outlineLevel="0" collapsed="false">
      <c r="A70" s="3" t="s">
        <v>39</v>
      </c>
      <c r="B70" s="4" t="s">
        <v>9</v>
      </c>
      <c r="C70" s="4" t="s">
        <v>9</v>
      </c>
      <c r="D70" s="4" t="s">
        <v>18</v>
      </c>
      <c r="E70" s="3" t="n">
        <f aca="false">AVERAGE(INDEX(Resources!$B$2:$F$10,MATCH($B70,Resources!$A$2:$A$10,0),1),INDEX(Resources!$B$2:$F$10,MATCH($C70,Resources!$A$2:$A$10,0),1),INDEX(Resources!$B$2:$F$10,MATCH($D70,Resources!$A$2:$A$10,0),1))</f>
        <v>726.666666666667</v>
      </c>
      <c r="F70" s="3" t="s">
        <v>40</v>
      </c>
      <c r="G70" s="6" t="n">
        <f aca="false">(Weights!$C$8*IF(Weights!$D$8=0,$E70,INDEX(Resources!$B$2:$F$10,MATCH(CHOOSE(Weights!$D$8,$B70,$C70,$D70),Resources!$A$2:$A$10,0),MATCH(Weights!$E$8,Resources!$B$1:$F$1,0)))+Weights!$F$8*IF(Weights!$G$8=0,$E70,INDEX(Resources!$B$2:$F$10,MATCH(CHOOSE(Weights!$G$8,$B70,$C70,$D70),Resources!$A$2:$A$10,0),MATCH(Weights!$H$8,Resources!$B$1:$F$1,0)))+Weights!$I$8*IF(Weights!$J$8=0,$E70,INDEX(Resources!$B$2:$F$10,MATCH(CHOOSE(Weights!$J$8,$B70,$C70,$D70),Resources!$A$2:$A$10,0),MATCH(Weights!$K$8,Resources!$B$1:$F$1,0))))/10</f>
        <v>79.2166666666667</v>
      </c>
      <c r="H70" s="3" t="str">
        <f aca="false">IF(G70&lt;40,"Poor",IF(G70&lt;55,"Basic",IF(G70&lt;70,"Solid",IF(G70&lt;85,"Strong",IF(G70&lt;95,"Excellent","Exceptional")))))</f>
        <v>Strong</v>
      </c>
      <c r="I70" s="3" t="s">
        <v>41</v>
      </c>
      <c r="J70" s="6" t="n">
        <f aca="false">(Weights!$C$9*IF(Weights!$D$9=0,$E70,INDEX(Resources!$B$2:$F$10,MATCH(CHOOSE(Weights!$D$9,$B70,$C70,$D70),Resources!$A$2:$A$10,0),MATCH(Weights!$E$9,Resources!$B$1:$F$1,0)))+Weights!$F$9*IF(Weights!$G$9=0,$E70,INDEX(Resources!$B$2:$F$10,MATCH(CHOOSE(Weights!$G$9,$B70,$C70,$D70),Resources!$A$2:$A$10,0),MATCH(Weights!$H$9,Resources!$B$1:$F$1,0)))+Weights!$I$9*IF(Weights!$J$9=0,$E70,INDEX(Resources!$B$2:$F$10,MATCH(CHOOSE(Weights!$J$9,$B70,$C70,$D70),Resources!$A$2:$A$10,0),MATCH(Weights!$K$9,Resources!$B$1:$F$1,0))))/10</f>
        <v>76.2333333333333</v>
      </c>
      <c r="K70" s="3" t="str">
        <f aca="false">IF(J70&lt;40,"Poor",IF(J70&lt;55,"Basic",IF(J70&lt;70,"Solid",IF(J70&lt;85,"Strong",IF(J70&lt;95,"Excellent","Exceptional")))))</f>
        <v>Strong</v>
      </c>
      <c r="L70" s="3" t="s">
        <v>42</v>
      </c>
      <c r="M70" s="6" t="n">
        <f aca="false">(Weights!$C$10*IF(Weights!$D$10=0,$E70,INDEX(Resources!$B$2:$F$10,MATCH(CHOOSE(Weights!$D$10,$B70,$C70,$D70),Resources!$A$2:$A$10,0),MATCH(Weights!$E$10,Resources!$B$1:$F$1,0)))+Weights!$F$10*IF(Weights!$G$10=0,$E70,INDEX(Resources!$B$2:$F$10,MATCH(CHOOSE(Weights!$G$10,$B70,$C70,$D70),Resources!$A$2:$A$10,0),MATCH(Weights!$H$10,Resources!$B$1:$F$1,0)))+Weights!$I$10*IF(Weights!$J$10=0,$E70,INDEX(Resources!$B$2:$F$10,MATCH(CHOOSE(Weights!$J$10,$B70,$C70,$D70),Resources!$A$2:$A$10,0),MATCH(Weights!$K$10,Resources!$B$1:$F$1,0))))/10</f>
        <v>76.6333333333333</v>
      </c>
      <c r="N70" s="3" t="str">
        <f aca="false">IF(M70&lt;40,"Poor",IF(M70&lt;55,"Basic",IF(M70&lt;70,"Solid",IF(M70&lt;85,"Strong",IF(M70&lt;95,"Excellent","Exceptional")))))</f>
        <v>Strong</v>
      </c>
      <c r="O70" s="6" t="n">
        <f aca="false">MIN(100,MAX(G70,J70,M70)*(1+0.05*3))</f>
        <v>91.0991666666667</v>
      </c>
      <c r="P70" s="3" t="str">
        <f aca="false">IF(O70&lt;40,"Poor",IF(O70&lt;55,"Basic",IF(O70&lt;70,"Solid",IF(O70&lt;85,"Strong",IF(O70&lt;95,"Excellent","Exceptional")))))</f>
        <v>Excellent</v>
      </c>
    </row>
    <row r="71" customFormat="false" ht="15" hidden="false" customHeight="true" outlineLevel="0" collapsed="false">
      <c r="A71" s="3" t="s">
        <v>39</v>
      </c>
      <c r="B71" s="4" t="s">
        <v>9</v>
      </c>
      <c r="C71" s="4" t="s">
        <v>10</v>
      </c>
      <c r="D71" s="4" t="s">
        <v>15</v>
      </c>
      <c r="E71" s="3" t="n">
        <f aca="false">AVERAGE(INDEX(Resources!$B$2:$F$10,MATCH($B71,Resources!$A$2:$A$10,0),1),INDEX(Resources!$B$2:$F$10,MATCH($C71,Resources!$A$2:$A$10,0),1),INDEX(Resources!$B$2:$F$10,MATCH($D71,Resources!$A$2:$A$10,0),1))</f>
        <v>660</v>
      </c>
      <c r="F71" s="3" t="s">
        <v>40</v>
      </c>
      <c r="G71" s="6" t="n">
        <f aca="false">(Weights!$C$8*IF(Weights!$D$8=0,$E71,INDEX(Resources!$B$2:$F$10,MATCH(CHOOSE(Weights!$D$8,$B71,$C71,$D71),Resources!$A$2:$A$10,0),MATCH(Weights!$E$8,Resources!$B$1:$F$1,0)))+Weights!$F$8*IF(Weights!$G$8=0,$E71,INDEX(Resources!$B$2:$F$10,MATCH(CHOOSE(Weights!$G$8,$B71,$C71,$D71),Resources!$A$2:$A$10,0),MATCH(Weights!$H$8,Resources!$B$1:$F$1,0)))+Weights!$I$8*IF(Weights!$J$8=0,$E71,INDEX(Resources!$B$2:$F$10,MATCH(CHOOSE(Weights!$J$8,$B71,$C71,$D71),Resources!$A$2:$A$10,0),MATCH(Weights!$K$8,Resources!$B$1:$F$1,0))))/10</f>
        <v>81.15</v>
      </c>
      <c r="H71" s="3" t="str">
        <f aca="false">IF(G71&lt;40,"Poor",IF(G71&lt;55,"Basic",IF(G71&lt;70,"Solid",IF(G71&lt;85,"Strong",IF(G71&lt;95,"Excellent","Exceptional")))))</f>
        <v>Strong</v>
      </c>
      <c r="I71" s="3" t="s">
        <v>41</v>
      </c>
      <c r="J71" s="6" t="n">
        <f aca="false">(Weights!$C$9*IF(Weights!$D$9=0,$E71,INDEX(Resources!$B$2:$F$10,MATCH(CHOOSE(Weights!$D$9,$B71,$C71,$D71),Resources!$A$2:$A$10,0),MATCH(Weights!$E$9,Resources!$B$1:$F$1,0)))+Weights!$F$9*IF(Weights!$G$9=0,$E71,INDEX(Resources!$B$2:$F$10,MATCH(CHOOSE(Weights!$G$9,$B71,$C71,$D71),Resources!$A$2:$A$10,0),MATCH(Weights!$H$9,Resources!$B$1:$F$1,0)))+Weights!$I$9*IF(Weights!$J$9=0,$E71,INDEX(Resources!$B$2:$F$10,MATCH(CHOOSE(Weights!$J$9,$B71,$C71,$D71),Resources!$A$2:$A$10,0),MATCH(Weights!$K$9,Resources!$B$1:$F$1,0))))/10</f>
        <v>82.1</v>
      </c>
      <c r="K71" s="3" t="str">
        <f aca="false">IF(J71&lt;40,"Poor",IF(J71&lt;55,"Basic",IF(J71&lt;70,"Solid",IF(J71&lt;85,"Strong",IF(J71&lt;95,"Excellent","Exceptional")))))</f>
        <v>Strong</v>
      </c>
      <c r="L71" s="3" t="s">
        <v>42</v>
      </c>
      <c r="M71" s="6" t="n">
        <f aca="false">(Weights!$C$10*IF(Weights!$D$10=0,$E71,INDEX(Resources!$B$2:$F$10,MATCH(CHOOSE(Weights!$D$10,$B71,$C71,$D71),Resources!$A$2:$A$10,0),MATCH(Weights!$E$10,Resources!$B$1:$F$1,0)))+Weights!$F$10*IF(Weights!$G$10=0,$E71,INDEX(Resources!$B$2:$F$10,MATCH(CHOOSE(Weights!$G$10,$B71,$C71,$D71),Resources!$A$2:$A$10,0),MATCH(Weights!$H$10,Resources!$B$1:$F$1,0)))+Weights!$I$10*IF(Weights!$J$10=0,$E71,INDEX(Resources!$B$2:$F$10,MATCH(CHOOSE(Weights!$J$10,$B71,$C71,$D71),Resources!$A$2:$A$10,0),MATCH(Weights!$K$10,Resources!$B$1:$F$1,0))))/10</f>
        <v>79.7</v>
      </c>
      <c r="N71" s="3" t="str">
        <f aca="false">IF(M71&lt;40,"Poor",IF(M71&lt;55,"Basic",IF(M71&lt;70,"Solid",IF(M71&lt;85,"Strong",IF(M71&lt;95,"Excellent","Exceptional")))))</f>
        <v>Strong</v>
      </c>
      <c r="O71" s="6" t="n">
        <f aca="false">MIN(100,MAX(G71,J71,M71)*(1+0.05*3))</f>
        <v>94.415</v>
      </c>
      <c r="P71" s="3" t="str">
        <f aca="false">IF(O71&lt;40,"Poor",IF(O71&lt;55,"Basic",IF(O71&lt;70,"Solid",IF(O71&lt;85,"Strong",IF(O71&lt;95,"Excellent","Exceptional")))))</f>
        <v>Excellent</v>
      </c>
    </row>
    <row r="72" customFormat="false" ht="15" hidden="false" customHeight="true" outlineLevel="0" collapsed="false">
      <c r="A72" s="3" t="s">
        <v>39</v>
      </c>
      <c r="B72" s="4" t="s">
        <v>9</v>
      </c>
      <c r="C72" s="4" t="s">
        <v>10</v>
      </c>
      <c r="D72" s="4" t="s">
        <v>17</v>
      </c>
      <c r="E72" s="3" t="n">
        <f aca="false">AVERAGE(INDEX(Resources!$B$2:$F$10,MATCH($B72,Resources!$A$2:$A$10,0),1),INDEX(Resources!$B$2:$F$10,MATCH($C72,Resources!$A$2:$A$10,0),1),INDEX(Resources!$B$2:$F$10,MATCH($D72,Resources!$A$2:$A$10,0),1))</f>
        <v>630</v>
      </c>
      <c r="F72" s="3" t="s">
        <v>40</v>
      </c>
      <c r="G72" s="6" t="n">
        <f aca="false">(Weights!$C$8*IF(Weights!$D$8=0,$E72,INDEX(Resources!$B$2:$F$10,MATCH(CHOOSE(Weights!$D$8,$B72,$C72,$D72),Resources!$A$2:$A$10,0),MATCH(Weights!$E$8,Resources!$B$1:$F$1,0)))+Weights!$F$8*IF(Weights!$G$8=0,$E72,INDEX(Resources!$B$2:$F$10,MATCH(CHOOSE(Weights!$G$8,$B72,$C72,$D72),Resources!$A$2:$A$10,0),MATCH(Weights!$H$8,Resources!$B$1:$F$1,0)))+Weights!$I$8*IF(Weights!$J$8=0,$E72,INDEX(Resources!$B$2:$F$10,MATCH(CHOOSE(Weights!$J$8,$B72,$C72,$D72),Resources!$A$2:$A$10,0),MATCH(Weights!$K$8,Resources!$B$1:$F$1,0))))/10</f>
        <v>80.4</v>
      </c>
      <c r="H72" s="3" t="str">
        <f aca="false">IF(G72&lt;40,"Poor",IF(G72&lt;55,"Basic",IF(G72&lt;70,"Solid",IF(G72&lt;85,"Strong",IF(G72&lt;95,"Excellent","Exceptional")))))</f>
        <v>Strong</v>
      </c>
      <c r="I72" s="3" t="s">
        <v>41</v>
      </c>
      <c r="J72" s="6" t="n">
        <f aca="false">(Weights!$C$9*IF(Weights!$D$9=0,$E72,INDEX(Resources!$B$2:$F$10,MATCH(CHOOSE(Weights!$D$9,$B72,$C72,$D72),Resources!$A$2:$A$10,0),MATCH(Weights!$E$9,Resources!$B$1:$F$1,0)))+Weights!$F$9*IF(Weights!$G$9=0,$E72,INDEX(Resources!$B$2:$F$10,MATCH(CHOOSE(Weights!$G$9,$B72,$C72,$D72),Resources!$A$2:$A$10,0),MATCH(Weights!$H$9,Resources!$B$1:$F$1,0)))+Weights!$I$9*IF(Weights!$J$9=0,$E72,INDEX(Resources!$B$2:$F$10,MATCH(CHOOSE(Weights!$J$9,$B72,$C72,$D72),Resources!$A$2:$A$10,0),MATCH(Weights!$K$9,Resources!$B$1:$F$1,0))))/10</f>
        <v>61.4</v>
      </c>
      <c r="K72" s="3" t="str">
        <f aca="false">IF(J72&lt;40,"Poor",IF(J72&lt;55,"Basic",IF(J72&lt;70,"Solid",IF(J72&lt;85,"Strong",IF(J72&lt;95,"Excellent","Exceptional")))))</f>
        <v>Solid</v>
      </c>
      <c r="L72" s="3" t="s">
        <v>42</v>
      </c>
      <c r="M72" s="6" t="n">
        <f aca="false">(Weights!$C$10*IF(Weights!$D$10=0,$E72,INDEX(Resources!$B$2:$F$10,MATCH(CHOOSE(Weights!$D$10,$B72,$C72,$D72),Resources!$A$2:$A$10,0),MATCH(Weights!$E$10,Resources!$B$1:$F$1,0)))+Weights!$F$10*IF(Weights!$G$10=0,$E72,INDEX(Resources!$B$2:$F$10,MATCH(CHOOSE(Weights!$G$10,$B72,$C72,$D72),Resources!$A$2:$A$10,0),MATCH(Weights!$H$10,Resources!$B$1:$F$1,0)))+Weights!$I$10*IF(Weights!$J$10=0,$E72,INDEX(Resources!$B$2:$F$10,MATCH(CHOOSE(Weights!$J$10,$B72,$C72,$D72),Resources!$A$2:$A$10,0),MATCH(Weights!$K$10,Resources!$B$1:$F$1,0))))/10</f>
        <v>78.65</v>
      </c>
      <c r="N72" s="3" t="str">
        <f aca="false">IF(M72&lt;40,"Poor",IF(M72&lt;55,"Basic",IF(M72&lt;70,"Solid",IF(M72&lt;85,"Strong",IF(M72&lt;95,"Excellent","Exceptional")))))</f>
        <v>Strong</v>
      </c>
      <c r="O72" s="6" t="n">
        <f aca="false">MIN(100,MAX(G72,J72,M72)*(1+0.05*3))</f>
        <v>92.46</v>
      </c>
      <c r="P72" s="3" t="str">
        <f aca="false">IF(O72&lt;40,"Poor",IF(O72&lt;55,"Basic",IF(O72&lt;70,"Solid",IF(O72&lt;85,"Strong",IF(O72&lt;95,"Excellent","Exceptional")))))</f>
        <v>Excellent</v>
      </c>
    </row>
    <row r="73" customFormat="false" ht="15" hidden="false" customHeight="true" outlineLevel="0" collapsed="false">
      <c r="A73" s="3" t="s">
        <v>39</v>
      </c>
      <c r="B73" s="4" t="s">
        <v>9</v>
      </c>
      <c r="C73" s="4" t="s">
        <v>10</v>
      </c>
      <c r="D73" s="4" t="s">
        <v>18</v>
      </c>
      <c r="E73" s="3" t="n">
        <f aca="false">AVERAGE(INDEX(Resources!$B$2:$F$10,MATCH($B73,Resources!$A$2:$A$10,0),1),INDEX(Resources!$B$2:$F$10,MATCH($C73,Resources!$A$2:$A$10,0),1),INDEX(Resources!$B$2:$F$10,MATCH($D73,Resources!$A$2:$A$10,0),1))</f>
        <v>700</v>
      </c>
      <c r="F73" s="3" t="s">
        <v>40</v>
      </c>
      <c r="G73" s="6" t="n">
        <f aca="false">(Weights!$C$8*IF(Weights!$D$8=0,$E73,INDEX(Resources!$B$2:$F$10,MATCH(CHOOSE(Weights!$D$8,$B73,$C73,$D73),Resources!$A$2:$A$10,0),MATCH(Weights!$E$8,Resources!$B$1:$F$1,0)))+Weights!$F$8*IF(Weights!$G$8=0,$E73,INDEX(Resources!$B$2:$F$10,MATCH(CHOOSE(Weights!$G$8,$B73,$C73,$D73),Resources!$A$2:$A$10,0),MATCH(Weights!$H$8,Resources!$B$1:$F$1,0)))+Weights!$I$8*IF(Weights!$J$8=0,$E73,INDEX(Resources!$B$2:$F$10,MATCH(CHOOSE(Weights!$J$8,$B73,$C73,$D73),Resources!$A$2:$A$10,0),MATCH(Weights!$K$8,Resources!$B$1:$F$1,0))))/10</f>
        <v>82.15</v>
      </c>
      <c r="H73" s="3" t="str">
        <f aca="false">IF(G73&lt;40,"Poor",IF(G73&lt;55,"Basic",IF(G73&lt;70,"Solid",IF(G73&lt;85,"Strong",IF(G73&lt;95,"Excellent","Exceptional")))))</f>
        <v>Strong</v>
      </c>
      <c r="I73" s="3" t="s">
        <v>41</v>
      </c>
      <c r="J73" s="6" t="n">
        <f aca="false">(Weights!$C$9*IF(Weights!$D$9=0,$E73,INDEX(Resources!$B$2:$F$10,MATCH(CHOOSE(Weights!$D$9,$B73,$C73,$D73),Resources!$A$2:$A$10,0),MATCH(Weights!$E$9,Resources!$B$1:$F$1,0)))+Weights!$F$9*IF(Weights!$G$9=0,$E73,INDEX(Resources!$B$2:$F$10,MATCH(CHOOSE(Weights!$G$9,$B73,$C73,$D73),Resources!$A$2:$A$10,0),MATCH(Weights!$H$9,Resources!$B$1:$F$1,0)))+Weights!$I$9*IF(Weights!$J$9=0,$E73,INDEX(Resources!$B$2:$F$10,MATCH(CHOOSE(Weights!$J$9,$B73,$C73,$D73),Resources!$A$2:$A$10,0),MATCH(Weights!$K$9,Resources!$B$1:$F$1,0))))/10</f>
        <v>75.7</v>
      </c>
      <c r="K73" s="3" t="str">
        <f aca="false">IF(J73&lt;40,"Poor",IF(J73&lt;55,"Basic",IF(J73&lt;70,"Solid",IF(J73&lt;85,"Strong",IF(J73&lt;95,"Excellent","Exceptional")))))</f>
        <v>Strong</v>
      </c>
      <c r="L73" s="3" t="s">
        <v>42</v>
      </c>
      <c r="M73" s="6" t="n">
        <f aca="false">(Weights!$C$10*IF(Weights!$D$10=0,$E73,INDEX(Resources!$B$2:$F$10,MATCH(CHOOSE(Weights!$D$10,$B73,$C73,$D73),Resources!$A$2:$A$10,0),MATCH(Weights!$E$10,Resources!$B$1:$F$1,0)))+Weights!$F$10*IF(Weights!$G$10=0,$E73,INDEX(Resources!$B$2:$F$10,MATCH(CHOOSE(Weights!$G$10,$B73,$C73,$D73),Resources!$A$2:$A$10,0),MATCH(Weights!$H$10,Resources!$B$1:$F$1,0)))+Weights!$I$10*IF(Weights!$J$10=0,$E73,INDEX(Resources!$B$2:$F$10,MATCH(CHOOSE(Weights!$J$10,$B73,$C73,$D73),Resources!$A$2:$A$10,0),MATCH(Weights!$K$10,Resources!$B$1:$F$1,0))))/10</f>
        <v>81.1</v>
      </c>
      <c r="N73" s="3" t="str">
        <f aca="false">IF(M73&lt;40,"Poor",IF(M73&lt;55,"Basic",IF(M73&lt;70,"Solid",IF(M73&lt;85,"Strong",IF(M73&lt;95,"Excellent","Exceptional")))))</f>
        <v>Strong</v>
      </c>
      <c r="O73" s="6" t="n">
        <f aca="false">MIN(100,MAX(G73,J73,M73)*(1+0.05*3))</f>
        <v>94.4725</v>
      </c>
      <c r="P73" s="3" t="str">
        <f aca="false">IF(O73&lt;40,"Poor",IF(O73&lt;55,"Basic",IF(O73&lt;70,"Solid",IF(O73&lt;85,"Strong",IF(O73&lt;95,"Excellent","Exceptional")))))</f>
        <v>Excellent</v>
      </c>
    </row>
    <row r="74" customFormat="false" ht="15" hidden="false" customHeight="true" outlineLevel="0" collapsed="false">
      <c r="A74" s="3" t="s">
        <v>39</v>
      </c>
      <c r="B74" s="4" t="s">
        <v>10</v>
      </c>
      <c r="C74" s="4" t="s">
        <v>7</v>
      </c>
      <c r="D74" s="4" t="s">
        <v>15</v>
      </c>
      <c r="E74" s="3" t="n">
        <f aca="false">AVERAGE(INDEX(Resources!$B$2:$F$10,MATCH($B74,Resources!$A$2:$A$10,0),1),INDEX(Resources!$B$2:$F$10,MATCH($C74,Resources!$A$2:$A$10,0),1),INDEX(Resources!$B$2:$F$10,MATCH($D74,Resources!$A$2:$A$10,0),1))</f>
        <v>603.333333333333</v>
      </c>
      <c r="F74" s="3" t="s">
        <v>40</v>
      </c>
      <c r="G74" s="6" t="n">
        <f aca="false">(Weights!$C$8*IF(Weights!$D$8=0,$E74,INDEX(Resources!$B$2:$F$10,MATCH(CHOOSE(Weights!$D$8,$B74,$C74,$D74),Resources!$A$2:$A$10,0),MATCH(Weights!$E$8,Resources!$B$1:$F$1,0)))+Weights!$F$8*IF(Weights!$G$8=0,$E74,INDEX(Resources!$B$2:$F$10,MATCH(CHOOSE(Weights!$G$8,$B74,$C74,$D74),Resources!$A$2:$A$10,0),MATCH(Weights!$H$8,Resources!$B$1:$F$1,0)))+Weights!$I$8*IF(Weights!$J$8=0,$E74,INDEX(Resources!$B$2:$F$10,MATCH(CHOOSE(Weights!$J$8,$B74,$C74,$D74),Resources!$A$2:$A$10,0),MATCH(Weights!$K$8,Resources!$B$1:$F$1,0))))/10</f>
        <v>51.2333333333333</v>
      </c>
      <c r="H74" s="3" t="str">
        <f aca="false">IF(G74&lt;40,"Poor",IF(G74&lt;55,"Basic",IF(G74&lt;70,"Solid",IF(G74&lt;85,"Strong",IF(G74&lt;95,"Excellent","Exceptional")))))</f>
        <v>Basic</v>
      </c>
      <c r="I74" s="3" t="s">
        <v>41</v>
      </c>
      <c r="J74" s="6" t="n">
        <f aca="false">(Weights!$C$9*IF(Weights!$D$9=0,$E74,INDEX(Resources!$B$2:$F$10,MATCH(CHOOSE(Weights!$D$9,$B74,$C74,$D74),Resources!$A$2:$A$10,0),MATCH(Weights!$E$9,Resources!$B$1:$F$1,0)))+Weights!$F$9*IF(Weights!$G$9=0,$E74,INDEX(Resources!$B$2:$F$10,MATCH(CHOOSE(Weights!$G$9,$B74,$C74,$D74),Resources!$A$2:$A$10,0),MATCH(Weights!$H$9,Resources!$B$1:$F$1,0)))+Weights!$I$9*IF(Weights!$J$9=0,$E74,INDEX(Resources!$B$2:$F$10,MATCH(CHOOSE(Weights!$J$9,$B74,$C74,$D74),Resources!$A$2:$A$10,0),MATCH(Weights!$K$9,Resources!$B$1:$F$1,0))))/10</f>
        <v>59.9666666666667</v>
      </c>
      <c r="K74" s="3" t="str">
        <f aca="false">IF(J74&lt;40,"Poor",IF(J74&lt;55,"Basic",IF(J74&lt;70,"Solid",IF(J74&lt;85,"Strong",IF(J74&lt;95,"Excellent","Exceptional")))))</f>
        <v>Solid</v>
      </c>
      <c r="L74" s="3" t="s">
        <v>42</v>
      </c>
      <c r="M74" s="6" t="n">
        <f aca="false">(Weights!$C$10*IF(Weights!$D$10=0,$E74,INDEX(Resources!$B$2:$F$10,MATCH(CHOOSE(Weights!$D$10,$B74,$C74,$D74),Resources!$A$2:$A$10,0),MATCH(Weights!$E$10,Resources!$B$1:$F$1,0)))+Weights!$F$10*IF(Weights!$G$10=0,$E74,INDEX(Resources!$B$2:$F$10,MATCH(CHOOSE(Weights!$G$10,$B74,$C74,$D74),Resources!$A$2:$A$10,0),MATCH(Weights!$H$10,Resources!$B$1:$F$1,0)))+Weights!$I$10*IF(Weights!$J$10=0,$E74,INDEX(Resources!$B$2:$F$10,MATCH(CHOOSE(Weights!$J$10,$B74,$C74,$D74),Resources!$A$2:$A$10,0),MATCH(Weights!$K$10,Resources!$B$1:$F$1,0))))/10</f>
        <v>54.9166666666667</v>
      </c>
      <c r="N74" s="3" t="str">
        <f aca="false">IF(M74&lt;40,"Poor",IF(M74&lt;55,"Basic",IF(M74&lt;70,"Solid",IF(M74&lt;85,"Strong",IF(M74&lt;95,"Excellent","Exceptional")))))</f>
        <v>Basic</v>
      </c>
      <c r="O74" s="6" t="n">
        <f aca="false">MIN(100,MAX(G74,J74,M74)*(1+0.05*3))</f>
        <v>68.9616666666667</v>
      </c>
      <c r="P74" s="3" t="str">
        <f aca="false">IF(O74&lt;40,"Poor",IF(O74&lt;55,"Basic",IF(O74&lt;70,"Solid",IF(O74&lt;85,"Strong",IF(O74&lt;95,"Excellent","Exceptional")))))</f>
        <v>Solid</v>
      </c>
    </row>
    <row r="75" customFormat="false" ht="15" hidden="false" customHeight="true" outlineLevel="0" collapsed="false">
      <c r="A75" s="3" t="s">
        <v>39</v>
      </c>
      <c r="B75" s="4" t="s">
        <v>10</v>
      </c>
      <c r="C75" s="4" t="s">
        <v>7</v>
      </c>
      <c r="D75" s="4" t="s">
        <v>17</v>
      </c>
      <c r="E75" s="3" t="n">
        <f aca="false">AVERAGE(INDEX(Resources!$B$2:$F$10,MATCH($B75,Resources!$A$2:$A$10,0),1),INDEX(Resources!$B$2:$F$10,MATCH($C75,Resources!$A$2:$A$10,0),1),INDEX(Resources!$B$2:$F$10,MATCH($D75,Resources!$A$2:$A$10,0),1))</f>
        <v>573.333333333333</v>
      </c>
      <c r="F75" s="3" t="s">
        <v>40</v>
      </c>
      <c r="G75" s="6" t="n">
        <f aca="false">(Weights!$C$8*IF(Weights!$D$8=0,$E75,INDEX(Resources!$B$2:$F$10,MATCH(CHOOSE(Weights!$D$8,$B75,$C75,$D75),Resources!$A$2:$A$10,0),MATCH(Weights!$E$8,Resources!$B$1:$F$1,0)))+Weights!$F$8*IF(Weights!$G$8=0,$E75,INDEX(Resources!$B$2:$F$10,MATCH(CHOOSE(Weights!$G$8,$B75,$C75,$D75),Resources!$A$2:$A$10,0),MATCH(Weights!$H$8,Resources!$B$1:$F$1,0)))+Weights!$I$8*IF(Weights!$J$8=0,$E75,INDEX(Resources!$B$2:$F$10,MATCH(CHOOSE(Weights!$J$8,$B75,$C75,$D75),Resources!$A$2:$A$10,0),MATCH(Weights!$K$8,Resources!$B$1:$F$1,0))))/10</f>
        <v>50.4833333333333</v>
      </c>
      <c r="H75" s="3" t="str">
        <f aca="false">IF(G75&lt;40,"Poor",IF(G75&lt;55,"Basic",IF(G75&lt;70,"Solid",IF(G75&lt;85,"Strong",IF(G75&lt;95,"Excellent","Exceptional")))))</f>
        <v>Basic</v>
      </c>
      <c r="I75" s="3" t="s">
        <v>41</v>
      </c>
      <c r="J75" s="6" t="n">
        <f aca="false">(Weights!$C$9*IF(Weights!$D$9=0,$E75,INDEX(Resources!$B$2:$F$10,MATCH(CHOOSE(Weights!$D$9,$B75,$C75,$D75),Resources!$A$2:$A$10,0),MATCH(Weights!$E$9,Resources!$B$1:$F$1,0)))+Weights!$F$9*IF(Weights!$G$9=0,$E75,INDEX(Resources!$B$2:$F$10,MATCH(CHOOSE(Weights!$G$9,$B75,$C75,$D75),Resources!$A$2:$A$10,0),MATCH(Weights!$H$9,Resources!$B$1:$F$1,0)))+Weights!$I$9*IF(Weights!$J$9=0,$E75,INDEX(Resources!$B$2:$F$10,MATCH(CHOOSE(Weights!$J$9,$B75,$C75,$D75),Resources!$A$2:$A$10,0),MATCH(Weights!$K$9,Resources!$B$1:$F$1,0))))/10</f>
        <v>39.2666666666667</v>
      </c>
      <c r="K75" s="3" t="str">
        <f aca="false">IF(J75&lt;40,"Poor",IF(J75&lt;55,"Basic",IF(J75&lt;70,"Solid",IF(J75&lt;85,"Strong",IF(J75&lt;95,"Excellent","Exceptional")))))</f>
        <v>Poor</v>
      </c>
      <c r="L75" s="3" t="s">
        <v>42</v>
      </c>
      <c r="M75" s="6" t="n">
        <f aca="false">(Weights!$C$10*IF(Weights!$D$10=0,$E75,INDEX(Resources!$B$2:$F$10,MATCH(CHOOSE(Weights!$D$10,$B75,$C75,$D75),Resources!$A$2:$A$10,0),MATCH(Weights!$E$10,Resources!$B$1:$F$1,0)))+Weights!$F$10*IF(Weights!$G$10=0,$E75,INDEX(Resources!$B$2:$F$10,MATCH(CHOOSE(Weights!$G$10,$B75,$C75,$D75),Resources!$A$2:$A$10,0),MATCH(Weights!$H$10,Resources!$B$1:$F$1,0)))+Weights!$I$10*IF(Weights!$J$10=0,$E75,INDEX(Resources!$B$2:$F$10,MATCH(CHOOSE(Weights!$J$10,$B75,$C75,$D75),Resources!$A$2:$A$10,0),MATCH(Weights!$K$10,Resources!$B$1:$F$1,0))))/10</f>
        <v>53.8666666666667</v>
      </c>
      <c r="N75" s="3" t="str">
        <f aca="false">IF(M75&lt;40,"Poor",IF(M75&lt;55,"Basic",IF(M75&lt;70,"Solid",IF(M75&lt;85,"Strong",IF(M75&lt;95,"Excellent","Exceptional")))))</f>
        <v>Basic</v>
      </c>
      <c r="O75" s="6" t="n">
        <f aca="false">MIN(100,MAX(G75,J75,M75)*(1+0.05*3))</f>
        <v>61.9466666666667</v>
      </c>
      <c r="P75" s="3" t="str">
        <f aca="false">IF(O75&lt;40,"Poor",IF(O75&lt;55,"Basic",IF(O75&lt;70,"Solid",IF(O75&lt;85,"Strong",IF(O75&lt;95,"Excellent","Exceptional")))))</f>
        <v>Solid</v>
      </c>
    </row>
    <row r="76" customFormat="false" ht="15" hidden="false" customHeight="true" outlineLevel="0" collapsed="false">
      <c r="A76" s="3" t="s">
        <v>39</v>
      </c>
      <c r="B76" s="4" t="s">
        <v>10</v>
      </c>
      <c r="C76" s="4" t="s">
        <v>7</v>
      </c>
      <c r="D76" s="4" t="s">
        <v>18</v>
      </c>
      <c r="E76" s="3" t="n">
        <f aca="false">AVERAGE(INDEX(Resources!$B$2:$F$10,MATCH($B76,Resources!$A$2:$A$10,0),1),INDEX(Resources!$B$2:$F$10,MATCH($C76,Resources!$A$2:$A$10,0),1),INDEX(Resources!$B$2:$F$10,MATCH($D76,Resources!$A$2:$A$10,0),1))</f>
        <v>643.333333333333</v>
      </c>
      <c r="F76" s="3" t="s">
        <v>40</v>
      </c>
      <c r="G76" s="6" t="n">
        <f aca="false">(Weights!$C$8*IF(Weights!$D$8=0,$E76,INDEX(Resources!$B$2:$F$10,MATCH(CHOOSE(Weights!$D$8,$B76,$C76,$D76),Resources!$A$2:$A$10,0),MATCH(Weights!$E$8,Resources!$B$1:$F$1,0)))+Weights!$F$8*IF(Weights!$G$8=0,$E76,INDEX(Resources!$B$2:$F$10,MATCH(CHOOSE(Weights!$G$8,$B76,$C76,$D76),Resources!$A$2:$A$10,0),MATCH(Weights!$H$8,Resources!$B$1:$F$1,0)))+Weights!$I$8*IF(Weights!$J$8=0,$E76,INDEX(Resources!$B$2:$F$10,MATCH(CHOOSE(Weights!$J$8,$B76,$C76,$D76),Resources!$A$2:$A$10,0),MATCH(Weights!$K$8,Resources!$B$1:$F$1,0))))/10</f>
        <v>52.2333333333333</v>
      </c>
      <c r="H76" s="3" t="str">
        <f aca="false">IF(G76&lt;40,"Poor",IF(G76&lt;55,"Basic",IF(G76&lt;70,"Solid",IF(G76&lt;85,"Strong",IF(G76&lt;95,"Excellent","Exceptional")))))</f>
        <v>Basic</v>
      </c>
      <c r="I76" s="3" t="s">
        <v>41</v>
      </c>
      <c r="J76" s="6" t="n">
        <f aca="false">(Weights!$C$9*IF(Weights!$D$9=0,$E76,INDEX(Resources!$B$2:$F$10,MATCH(CHOOSE(Weights!$D$9,$B76,$C76,$D76),Resources!$A$2:$A$10,0),MATCH(Weights!$E$9,Resources!$B$1:$F$1,0)))+Weights!$F$9*IF(Weights!$G$9=0,$E76,INDEX(Resources!$B$2:$F$10,MATCH(CHOOSE(Weights!$G$9,$B76,$C76,$D76),Resources!$A$2:$A$10,0),MATCH(Weights!$H$9,Resources!$B$1:$F$1,0)))+Weights!$I$9*IF(Weights!$J$9=0,$E76,INDEX(Resources!$B$2:$F$10,MATCH(CHOOSE(Weights!$J$9,$B76,$C76,$D76),Resources!$A$2:$A$10,0),MATCH(Weights!$K$9,Resources!$B$1:$F$1,0))))/10</f>
        <v>53.5666666666667</v>
      </c>
      <c r="K76" s="3" t="str">
        <f aca="false">IF(J76&lt;40,"Poor",IF(J76&lt;55,"Basic",IF(J76&lt;70,"Solid",IF(J76&lt;85,"Strong",IF(J76&lt;95,"Excellent","Exceptional")))))</f>
        <v>Basic</v>
      </c>
      <c r="L76" s="3" t="s">
        <v>42</v>
      </c>
      <c r="M76" s="6" t="n">
        <f aca="false">(Weights!$C$10*IF(Weights!$D$10=0,$E76,INDEX(Resources!$B$2:$F$10,MATCH(CHOOSE(Weights!$D$10,$B76,$C76,$D76),Resources!$A$2:$A$10,0),MATCH(Weights!$E$10,Resources!$B$1:$F$1,0)))+Weights!$F$10*IF(Weights!$G$10=0,$E76,INDEX(Resources!$B$2:$F$10,MATCH(CHOOSE(Weights!$G$10,$B76,$C76,$D76),Resources!$A$2:$A$10,0),MATCH(Weights!$H$10,Resources!$B$1:$F$1,0)))+Weights!$I$10*IF(Weights!$J$10=0,$E76,INDEX(Resources!$B$2:$F$10,MATCH(CHOOSE(Weights!$J$10,$B76,$C76,$D76),Resources!$A$2:$A$10,0),MATCH(Weights!$K$10,Resources!$B$1:$F$1,0))))/10</f>
        <v>56.3166666666667</v>
      </c>
      <c r="N76" s="3" t="str">
        <f aca="false">IF(M76&lt;40,"Poor",IF(M76&lt;55,"Basic",IF(M76&lt;70,"Solid",IF(M76&lt;85,"Strong",IF(M76&lt;95,"Excellent","Exceptional")))))</f>
        <v>Solid</v>
      </c>
      <c r="O76" s="6" t="n">
        <f aca="false">MIN(100,MAX(G76,J76,M76)*(1+0.05*3))</f>
        <v>64.7641666666667</v>
      </c>
      <c r="P76" s="3" t="str">
        <f aca="false">IF(O76&lt;40,"Poor",IF(O76&lt;55,"Basic",IF(O76&lt;70,"Solid",IF(O76&lt;85,"Strong",IF(O76&lt;95,"Excellent","Exceptional")))))</f>
        <v>Solid</v>
      </c>
    </row>
    <row r="77" customFormat="false" ht="15" hidden="false" customHeight="true" outlineLevel="0" collapsed="false">
      <c r="A77" s="3" t="s">
        <v>39</v>
      </c>
      <c r="B77" s="4" t="s">
        <v>10</v>
      </c>
      <c r="C77" s="4" t="s">
        <v>9</v>
      </c>
      <c r="D77" s="4" t="s">
        <v>15</v>
      </c>
      <c r="E77" s="3" t="n">
        <f aca="false">AVERAGE(INDEX(Resources!$B$2:$F$10,MATCH($B77,Resources!$A$2:$A$10,0),1),INDEX(Resources!$B$2:$F$10,MATCH($C77,Resources!$A$2:$A$10,0),1),INDEX(Resources!$B$2:$F$10,MATCH($D77,Resources!$A$2:$A$10,0),1))</f>
        <v>660</v>
      </c>
      <c r="F77" s="3" t="s">
        <v>40</v>
      </c>
      <c r="G77" s="6" t="n">
        <f aca="false">(Weights!$C$8*IF(Weights!$D$8=0,$E77,INDEX(Resources!$B$2:$F$10,MATCH(CHOOSE(Weights!$D$8,$B77,$C77,$D77),Resources!$A$2:$A$10,0),MATCH(Weights!$E$8,Resources!$B$1:$F$1,0)))+Weights!$F$8*IF(Weights!$G$8=0,$E77,INDEX(Resources!$B$2:$F$10,MATCH(CHOOSE(Weights!$G$8,$B77,$C77,$D77),Resources!$A$2:$A$10,0),MATCH(Weights!$H$8,Resources!$B$1:$F$1,0)))+Weights!$I$8*IF(Weights!$J$8=0,$E77,INDEX(Resources!$B$2:$F$10,MATCH(CHOOSE(Weights!$J$8,$B77,$C77,$D77),Resources!$A$2:$A$10,0),MATCH(Weights!$K$8,Resources!$B$1:$F$1,0))))/10</f>
        <v>58.65</v>
      </c>
      <c r="H77" s="3" t="str">
        <f aca="false">IF(G77&lt;40,"Poor",IF(G77&lt;55,"Basic",IF(G77&lt;70,"Solid",IF(G77&lt;85,"Strong",IF(G77&lt;95,"Excellent","Exceptional")))))</f>
        <v>Solid</v>
      </c>
      <c r="I77" s="3" t="s">
        <v>41</v>
      </c>
      <c r="J77" s="6" t="n">
        <f aca="false">(Weights!$C$9*IF(Weights!$D$9=0,$E77,INDEX(Resources!$B$2:$F$10,MATCH(CHOOSE(Weights!$D$9,$B77,$C77,$D77),Resources!$A$2:$A$10,0),MATCH(Weights!$E$9,Resources!$B$1:$F$1,0)))+Weights!$F$9*IF(Weights!$G$9=0,$E77,INDEX(Resources!$B$2:$F$10,MATCH(CHOOSE(Weights!$G$9,$B77,$C77,$D77),Resources!$A$2:$A$10,0),MATCH(Weights!$H$9,Resources!$B$1:$F$1,0)))+Weights!$I$9*IF(Weights!$J$9=0,$E77,INDEX(Resources!$B$2:$F$10,MATCH(CHOOSE(Weights!$J$9,$B77,$C77,$D77),Resources!$A$2:$A$10,0),MATCH(Weights!$K$9,Resources!$B$1:$F$1,0))))/10</f>
        <v>61.1</v>
      </c>
      <c r="K77" s="3" t="str">
        <f aca="false">IF(J77&lt;40,"Poor",IF(J77&lt;55,"Basic",IF(J77&lt;70,"Solid",IF(J77&lt;85,"Strong",IF(J77&lt;95,"Excellent","Exceptional")))))</f>
        <v>Solid</v>
      </c>
      <c r="L77" s="3" t="s">
        <v>42</v>
      </c>
      <c r="M77" s="6" t="n">
        <f aca="false">(Weights!$C$10*IF(Weights!$D$10=0,$E77,INDEX(Resources!$B$2:$F$10,MATCH(CHOOSE(Weights!$D$10,$B77,$C77,$D77),Resources!$A$2:$A$10,0),MATCH(Weights!$E$10,Resources!$B$1:$F$1,0)))+Weights!$F$10*IF(Weights!$G$10=0,$E77,INDEX(Resources!$B$2:$F$10,MATCH(CHOOSE(Weights!$G$10,$B77,$C77,$D77),Resources!$A$2:$A$10,0),MATCH(Weights!$H$10,Resources!$B$1:$F$1,0)))+Weights!$I$10*IF(Weights!$J$10=0,$E77,INDEX(Resources!$B$2:$F$10,MATCH(CHOOSE(Weights!$J$10,$B77,$C77,$D77),Resources!$A$2:$A$10,0),MATCH(Weights!$K$10,Resources!$B$1:$F$1,0))))/10</f>
        <v>65.9</v>
      </c>
      <c r="N77" s="3" t="str">
        <f aca="false">IF(M77&lt;40,"Poor",IF(M77&lt;55,"Basic",IF(M77&lt;70,"Solid",IF(M77&lt;85,"Strong",IF(M77&lt;95,"Excellent","Exceptional")))))</f>
        <v>Solid</v>
      </c>
      <c r="O77" s="6" t="n">
        <f aca="false">MIN(100,MAX(G77,J77,M77)*(1+0.05*3))</f>
        <v>75.785</v>
      </c>
      <c r="P77" s="3" t="str">
        <f aca="false">IF(O77&lt;40,"Poor",IF(O77&lt;55,"Basic",IF(O77&lt;70,"Solid",IF(O77&lt;85,"Strong",IF(O77&lt;95,"Excellent","Exceptional")))))</f>
        <v>Strong</v>
      </c>
    </row>
    <row r="78" customFormat="false" ht="15" hidden="false" customHeight="true" outlineLevel="0" collapsed="false">
      <c r="A78" s="3" t="s">
        <v>39</v>
      </c>
      <c r="B78" s="4" t="s">
        <v>10</v>
      </c>
      <c r="C78" s="4" t="s">
        <v>9</v>
      </c>
      <c r="D78" s="4" t="s">
        <v>17</v>
      </c>
      <c r="E78" s="3" t="n">
        <f aca="false">AVERAGE(INDEX(Resources!$B$2:$F$10,MATCH($B78,Resources!$A$2:$A$10,0),1),INDEX(Resources!$B$2:$F$10,MATCH($C78,Resources!$A$2:$A$10,0),1),INDEX(Resources!$B$2:$F$10,MATCH($D78,Resources!$A$2:$A$10,0),1))</f>
        <v>630</v>
      </c>
      <c r="F78" s="3" t="s">
        <v>40</v>
      </c>
      <c r="G78" s="6" t="n">
        <f aca="false">(Weights!$C$8*IF(Weights!$D$8=0,$E78,INDEX(Resources!$B$2:$F$10,MATCH(CHOOSE(Weights!$D$8,$B78,$C78,$D78),Resources!$A$2:$A$10,0),MATCH(Weights!$E$8,Resources!$B$1:$F$1,0)))+Weights!$F$8*IF(Weights!$G$8=0,$E78,INDEX(Resources!$B$2:$F$10,MATCH(CHOOSE(Weights!$G$8,$B78,$C78,$D78),Resources!$A$2:$A$10,0),MATCH(Weights!$H$8,Resources!$B$1:$F$1,0)))+Weights!$I$8*IF(Weights!$J$8=0,$E78,INDEX(Resources!$B$2:$F$10,MATCH(CHOOSE(Weights!$J$8,$B78,$C78,$D78),Resources!$A$2:$A$10,0),MATCH(Weights!$K$8,Resources!$B$1:$F$1,0))))/10</f>
        <v>57.9</v>
      </c>
      <c r="H78" s="3" t="str">
        <f aca="false">IF(G78&lt;40,"Poor",IF(G78&lt;55,"Basic",IF(G78&lt;70,"Solid",IF(G78&lt;85,"Strong",IF(G78&lt;95,"Excellent","Exceptional")))))</f>
        <v>Solid</v>
      </c>
      <c r="I78" s="3" t="s">
        <v>41</v>
      </c>
      <c r="J78" s="6" t="n">
        <f aca="false">(Weights!$C$9*IF(Weights!$D$9=0,$E78,INDEX(Resources!$B$2:$F$10,MATCH(CHOOSE(Weights!$D$9,$B78,$C78,$D78),Resources!$A$2:$A$10,0),MATCH(Weights!$E$9,Resources!$B$1:$F$1,0)))+Weights!$F$9*IF(Weights!$G$9=0,$E78,INDEX(Resources!$B$2:$F$10,MATCH(CHOOSE(Weights!$G$9,$B78,$C78,$D78),Resources!$A$2:$A$10,0),MATCH(Weights!$H$9,Resources!$B$1:$F$1,0)))+Weights!$I$9*IF(Weights!$J$9=0,$E78,INDEX(Resources!$B$2:$F$10,MATCH(CHOOSE(Weights!$J$9,$B78,$C78,$D78),Resources!$A$2:$A$10,0),MATCH(Weights!$K$9,Resources!$B$1:$F$1,0))))/10</f>
        <v>40.4</v>
      </c>
      <c r="K78" s="3" t="str">
        <f aca="false">IF(J78&lt;40,"Poor",IF(J78&lt;55,"Basic",IF(J78&lt;70,"Solid",IF(J78&lt;85,"Strong",IF(J78&lt;95,"Excellent","Exceptional")))))</f>
        <v>Basic</v>
      </c>
      <c r="L78" s="3" t="s">
        <v>42</v>
      </c>
      <c r="M78" s="6" t="n">
        <f aca="false">(Weights!$C$10*IF(Weights!$D$10=0,$E78,INDEX(Resources!$B$2:$F$10,MATCH(CHOOSE(Weights!$D$10,$B78,$C78,$D78),Resources!$A$2:$A$10,0),MATCH(Weights!$E$10,Resources!$B$1:$F$1,0)))+Weights!$F$10*IF(Weights!$G$10=0,$E78,INDEX(Resources!$B$2:$F$10,MATCH(CHOOSE(Weights!$G$10,$B78,$C78,$D78),Resources!$A$2:$A$10,0),MATCH(Weights!$H$10,Resources!$B$1:$F$1,0)))+Weights!$I$10*IF(Weights!$J$10=0,$E78,INDEX(Resources!$B$2:$F$10,MATCH(CHOOSE(Weights!$J$10,$B78,$C78,$D78),Resources!$A$2:$A$10,0),MATCH(Weights!$K$10,Resources!$B$1:$F$1,0))))/10</f>
        <v>64.85</v>
      </c>
      <c r="N78" s="3" t="str">
        <f aca="false">IF(M78&lt;40,"Poor",IF(M78&lt;55,"Basic",IF(M78&lt;70,"Solid",IF(M78&lt;85,"Strong",IF(M78&lt;95,"Excellent","Exceptional")))))</f>
        <v>Solid</v>
      </c>
      <c r="O78" s="6" t="n">
        <f aca="false">MIN(100,MAX(G78,J78,M78)*(1+0.05*3))</f>
        <v>74.5775</v>
      </c>
      <c r="P78" s="3" t="str">
        <f aca="false">IF(O78&lt;40,"Poor",IF(O78&lt;55,"Basic",IF(O78&lt;70,"Solid",IF(O78&lt;85,"Strong",IF(O78&lt;95,"Excellent","Exceptional")))))</f>
        <v>Strong</v>
      </c>
    </row>
    <row r="79" customFormat="false" ht="15" hidden="false" customHeight="true" outlineLevel="0" collapsed="false">
      <c r="A79" s="3" t="s">
        <v>39</v>
      </c>
      <c r="B79" s="4" t="s">
        <v>10</v>
      </c>
      <c r="C79" s="4" t="s">
        <v>9</v>
      </c>
      <c r="D79" s="4" t="s">
        <v>18</v>
      </c>
      <c r="E79" s="3" t="n">
        <f aca="false">AVERAGE(INDEX(Resources!$B$2:$F$10,MATCH($B79,Resources!$A$2:$A$10,0),1),INDEX(Resources!$B$2:$F$10,MATCH($C79,Resources!$A$2:$A$10,0),1),INDEX(Resources!$B$2:$F$10,MATCH($D79,Resources!$A$2:$A$10,0),1))</f>
        <v>700</v>
      </c>
      <c r="F79" s="3" t="s">
        <v>40</v>
      </c>
      <c r="G79" s="6" t="n">
        <f aca="false">(Weights!$C$8*IF(Weights!$D$8=0,$E79,INDEX(Resources!$B$2:$F$10,MATCH(CHOOSE(Weights!$D$8,$B79,$C79,$D79),Resources!$A$2:$A$10,0),MATCH(Weights!$E$8,Resources!$B$1:$F$1,0)))+Weights!$F$8*IF(Weights!$G$8=0,$E79,INDEX(Resources!$B$2:$F$10,MATCH(CHOOSE(Weights!$G$8,$B79,$C79,$D79),Resources!$A$2:$A$10,0),MATCH(Weights!$H$8,Resources!$B$1:$F$1,0)))+Weights!$I$8*IF(Weights!$J$8=0,$E79,INDEX(Resources!$B$2:$F$10,MATCH(CHOOSE(Weights!$J$8,$B79,$C79,$D79),Resources!$A$2:$A$10,0),MATCH(Weights!$K$8,Resources!$B$1:$F$1,0))))/10</f>
        <v>59.65</v>
      </c>
      <c r="H79" s="3" t="str">
        <f aca="false">IF(G79&lt;40,"Poor",IF(G79&lt;55,"Basic",IF(G79&lt;70,"Solid",IF(G79&lt;85,"Strong",IF(G79&lt;95,"Excellent","Exceptional")))))</f>
        <v>Solid</v>
      </c>
      <c r="I79" s="3" t="s">
        <v>41</v>
      </c>
      <c r="J79" s="6" t="n">
        <f aca="false">(Weights!$C$9*IF(Weights!$D$9=0,$E79,INDEX(Resources!$B$2:$F$10,MATCH(CHOOSE(Weights!$D$9,$B79,$C79,$D79),Resources!$A$2:$A$10,0),MATCH(Weights!$E$9,Resources!$B$1:$F$1,0)))+Weights!$F$9*IF(Weights!$G$9=0,$E79,INDEX(Resources!$B$2:$F$10,MATCH(CHOOSE(Weights!$G$9,$B79,$C79,$D79),Resources!$A$2:$A$10,0),MATCH(Weights!$H$9,Resources!$B$1:$F$1,0)))+Weights!$I$9*IF(Weights!$J$9=0,$E79,INDEX(Resources!$B$2:$F$10,MATCH(CHOOSE(Weights!$J$9,$B79,$C79,$D79),Resources!$A$2:$A$10,0),MATCH(Weights!$K$9,Resources!$B$1:$F$1,0))))/10</f>
        <v>54.7</v>
      </c>
      <c r="K79" s="3" t="str">
        <f aca="false">IF(J79&lt;40,"Poor",IF(J79&lt;55,"Basic",IF(J79&lt;70,"Solid",IF(J79&lt;85,"Strong",IF(J79&lt;95,"Excellent","Exceptional")))))</f>
        <v>Basic</v>
      </c>
      <c r="L79" s="3" t="s">
        <v>42</v>
      </c>
      <c r="M79" s="6" t="n">
        <f aca="false">(Weights!$C$10*IF(Weights!$D$10=0,$E79,INDEX(Resources!$B$2:$F$10,MATCH(CHOOSE(Weights!$D$10,$B79,$C79,$D79),Resources!$A$2:$A$10,0),MATCH(Weights!$E$10,Resources!$B$1:$F$1,0)))+Weights!$F$10*IF(Weights!$G$10=0,$E79,INDEX(Resources!$B$2:$F$10,MATCH(CHOOSE(Weights!$G$10,$B79,$C79,$D79),Resources!$A$2:$A$10,0),MATCH(Weights!$H$10,Resources!$B$1:$F$1,0)))+Weights!$I$10*IF(Weights!$J$10=0,$E79,INDEX(Resources!$B$2:$F$10,MATCH(CHOOSE(Weights!$J$10,$B79,$C79,$D79),Resources!$A$2:$A$10,0),MATCH(Weights!$K$10,Resources!$B$1:$F$1,0))))/10</f>
        <v>67.3</v>
      </c>
      <c r="N79" s="3" t="str">
        <f aca="false">IF(M79&lt;40,"Poor",IF(M79&lt;55,"Basic",IF(M79&lt;70,"Solid",IF(M79&lt;85,"Strong",IF(M79&lt;95,"Excellent","Exceptional")))))</f>
        <v>Solid</v>
      </c>
      <c r="O79" s="6" t="n">
        <f aca="false">MIN(100,MAX(G79,J79,M79)*(1+0.05*3))</f>
        <v>77.395</v>
      </c>
      <c r="P79" s="3" t="str">
        <f aca="false">IF(O79&lt;40,"Poor",IF(O79&lt;55,"Basic",IF(O79&lt;70,"Solid",IF(O79&lt;85,"Strong",IF(O79&lt;95,"Excellent","Exceptional")))))</f>
        <v>Strong</v>
      </c>
    </row>
    <row r="80" customFormat="false" ht="15" hidden="false" customHeight="true" outlineLevel="0" collapsed="false">
      <c r="A80" s="3" t="s">
        <v>39</v>
      </c>
      <c r="B80" s="4" t="s">
        <v>10</v>
      </c>
      <c r="C80" s="4" t="s">
        <v>10</v>
      </c>
      <c r="D80" s="4" t="s">
        <v>15</v>
      </c>
      <c r="E80" s="3" t="n">
        <f aca="false">AVERAGE(INDEX(Resources!$B$2:$F$10,MATCH($B80,Resources!$A$2:$A$10,0),1),INDEX(Resources!$B$2:$F$10,MATCH($C80,Resources!$A$2:$A$10,0),1),INDEX(Resources!$B$2:$F$10,MATCH($D80,Resources!$A$2:$A$10,0),1))</f>
        <v>633.333333333333</v>
      </c>
      <c r="F80" s="3" t="s">
        <v>40</v>
      </c>
      <c r="G80" s="6" t="n">
        <f aca="false">(Weights!$C$8*IF(Weights!$D$8=0,$E80,INDEX(Resources!$B$2:$F$10,MATCH(CHOOSE(Weights!$D$8,$B80,$C80,$D80),Resources!$A$2:$A$10,0),MATCH(Weights!$E$8,Resources!$B$1:$F$1,0)))+Weights!$F$8*IF(Weights!$G$8=0,$E80,INDEX(Resources!$B$2:$F$10,MATCH(CHOOSE(Weights!$G$8,$B80,$C80,$D80),Resources!$A$2:$A$10,0),MATCH(Weights!$H$8,Resources!$B$1:$F$1,0)))+Weights!$I$8*IF(Weights!$J$8=0,$E80,INDEX(Resources!$B$2:$F$10,MATCH(CHOOSE(Weights!$J$8,$B80,$C80,$D80),Resources!$A$2:$A$10,0),MATCH(Weights!$K$8,Resources!$B$1:$F$1,0))))/10</f>
        <v>61.5833333333333</v>
      </c>
      <c r="H80" s="3" t="str">
        <f aca="false">IF(G80&lt;40,"Poor",IF(G80&lt;55,"Basic",IF(G80&lt;70,"Solid",IF(G80&lt;85,"Strong",IF(G80&lt;95,"Excellent","Exceptional")))))</f>
        <v>Solid</v>
      </c>
      <c r="I80" s="3" t="s">
        <v>41</v>
      </c>
      <c r="J80" s="6" t="n">
        <f aca="false">(Weights!$C$9*IF(Weights!$D$9=0,$E80,INDEX(Resources!$B$2:$F$10,MATCH(CHOOSE(Weights!$D$9,$B80,$C80,$D80),Resources!$A$2:$A$10,0),MATCH(Weights!$E$9,Resources!$B$1:$F$1,0)))+Weights!$F$9*IF(Weights!$G$9=0,$E80,INDEX(Resources!$B$2:$F$10,MATCH(CHOOSE(Weights!$G$9,$B80,$C80,$D80),Resources!$A$2:$A$10,0),MATCH(Weights!$H$9,Resources!$B$1:$F$1,0)))+Weights!$I$9*IF(Weights!$J$9=0,$E80,INDEX(Resources!$B$2:$F$10,MATCH(CHOOSE(Weights!$J$9,$B80,$C80,$D80),Resources!$A$2:$A$10,0),MATCH(Weights!$K$9,Resources!$B$1:$F$1,0))))/10</f>
        <v>60.5666666666667</v>
      </c>
      <c r="K80" s="3" t="str">
        <f aca="false">IF(J80&lt;40,"Poor",IF(J80&lt;55,"Basic",IF(J80&lt;70,"Solid",IF(J80&lt;85,"Strong",IF(J80&lt;95,"Excellent","Exceptional")))))</f>
        <v>Solid</v>
      </c>
      <c r="L80" s="3" t="s">
        <v>42</v>
      </c>
      <c r="M80" s="6" t="n">
        <f aca="false">(Weights!$C$10*IF(Weights!$D$10=0,$E80,INDEX(Resources!$B$2:$F$10,MATCH(CHOOSE(Weights!$D$10,$B80,$C80,$D80),Resources!$A$2:$A$10,0),MATCH(Weights!$E$10,Resources!$B$1:$F$1,0)))+Weights!$F$10*IF(Weights!$G$10=0,$E80,INDEX(Resources!$B$2:$F$10,MATCH(CHOOSE(Weights!$G$10,$B80,$C80,$D80),Resources!$A$2:$A$10,0),MATCH(Weights!$H$10,Resources!$B$1:$F$1,0)))+Weights!$I$10*IF(Weights!$J$10=0,$E80,INDEX(Resources!$B$2:$F$10,MATCH(CHOOSE(Weights!$J$10,$B80,$C80,$D80),Resources!$A$2:$A$10,0),MATCH(Weights!$K$10,Resources!$B$1:$F$1,0))))/10</f>
        <v>70.3666666666667</v>
      </c>
      <c r="N80" s="3" t="str">
        <f aca="false">IF(M80&lt;40,"Poor",IF(M80&lt;55,"Basic",IF(M80&lt;70,"Solid",IF(M80&lt;85,"Strong",IF(M80&lt;95,"Excellent","Exceptional")))))</f>
        <v>Strong</v>
      </c>
      <c r="O80" s="6" t="n">
        <f aca="false">MIN(100,MAX(G80,J80,M80)*(1+0.05*3))</f>
        <v>80.9216666666667</v>
      </c>
      <c r="P80" s="3" t="str">
        <f aca="false">IF(O80&lt;40,"Poor",IF(O80&lt;55,"Basic",IF(O80&lt;70,"Solid",IF(O80&lt;85,"Strong",IF(O80&lt;95,"Excellent","Exceptional")))))</f>
        <v>Strong</v>
      </c>
    </row>
    <row r="81" customFormat="false" ht="15" hidden="false" customHeight="true" outlineLevel="0" collapsed="false">
      <c r="A81" s="3" t="s">
        <v>39</v>
      </c>
      <c r="B81" s="4" t="s">
        <v>10</v>
      </c>
      <c r="C81" s="4" t="s">
        <v>10</v>
      </c>
      <c r="D81" s="4" t="s">
        <v>17</v>
      </c>
      <c r="E81" s="3" t="n">
        <f aca="false">AVERAGE(INDEX(Resources!$B$2:$F$10,MATCH($B81,Resources!$A$2:$A$10,0),1),INDEX(Resources!$B$2:$F$10,MATCH($C81,Resources!$A$2:$A$10,0),1),INDEX(Resources!$B$2:$F$10,MATCH($D81,Resources!$A$2:$A$10,0),1))</f>
        <v>603.333333333333</v>
      </c>
      <c r="F81" s="3" t="s">
        <v>40</v>
      </c>
      <c r="G81" s="6" t="n">
        <f aca="false">(Weights!$C$8*IF(Weights!$D$8=0,$E81,INDEX(Resources!$B$2:$F$10,MATCH(CHOOSE(Weights!$D$8,$B81,$C81,$D81),Resources!$A$2:$A$10,0),MATCH(Weights!$E$8,Resources!$B$1:$F$1,0)))+Weights!$F$8*IF(Weights!$G$8=0,$E81,INDEX(Resources!$B$2:$F$10,MATCH(CHOOSE(Weights!$G$8,$B81,$C81,$D81),Resources!$A$2:$A$10,0),MATCH(Weights!$H$8,Resources!$B$1:$F$1,0)))+Weights!$I$8*IF(Weights!$J$8=0,$E81,INDEX(Resources!$B$2:$F$10,MATCH(CHOOSE(Weights!$J$8,$B81,$C81,$D81),Resources!$A$2:$A$10,0),MATCH(Weights!$K$8,Resources!$B$1:$F$1,0))))/10</f>
        <v>60.8333333333333</v>
      </c>
      <c r="H81" s="3" t="str">
        <f aca="false">IF(G81&lt;40,"Poor",IF(G81&lt;55,"Basic",IF(G81&lt;70,"Solid",IF(G81&lt;85,"Strong",IF(G81&lt;95,"Excellent","Exceptional")))))</f>
        <v>Solid</v>
      </c>
      <c r="I81" s="3" t="s">
        <v>41</v>
      </c>
      <c r="J81" s="6" t="n">
        <f aca="false">(Weights!$C$9*IF(Weights!$D$9=0,$E81,INDEX(Resources!$B$2:$F$10,MATCH(CHOOSE(Weights!$D$9,$B81,$C81,$D81),Resources!$A$2:$A$10,0),MATCH(Weights!$E$9,Resources!$B$1:$F$1,0)))+Weights!$F$9*IF(Weights!$G$9=0,$E81,INDEX(Resources!$B$2:$F$10,MATCH(CHOOSE(Weights!$G$9,$B81,$C81,$D81),Resources!$A$2:$A$10,0),MATCH(Weights!$H$9,Resources!$B$1:$F$1,0)))+Weights!$I$9*IF(Weights!$J$9=0,$E81,INDEX(Resources!$B$2:$F$10,MATCH(CHOOSE(Weights!$J$9,$B81,$C81,$D81),Resources!$A$2:$A$10,0),MATCH(Weights!$K$9,Resources!$B$1:$F$1,0))))/10</f>
        <v>39.8666666666667</v>
      </c>
      <c r="K81" s="3" t="str">
        <f aca="false">IF(J81&lt;40,"Poor",IF(J81&lt;55,"Basic",IF(J81&lt;70,"Solid",IF(J81&lt;85,"Strong",IF(J81&lt;95,"Excellent","Exceptional")))))</f>
        <v>Poor</v>
      </c>
      <c r="L81" s="3" t="s">
        <v>42</v>
      </c>
      <c r="M81" s="6" t="n">
        <f aca="false">(Weights!$C$10*IF(Weights!$D$10=0,$E81,INDEX(Resources!$B$2:$F$10,MATCH(CHOOSE(Weights!$D$10,$B81,$C81,$D81),Resources!$A$2:$A$10,0),MATCH(Weights!$E$10,Resources!$B$1:$F$1,0)))+Weights!$F$10*IF(Weights!$G$10=0,$E81,INDEX(Resources!$B$2:$F$10,MATCH(CHOOSE(Weights!$G$10,$B81,$C81,$D81),Resources!$A$2:$A$10,0),MATCH(Weights!$H$10,Resources!$B$1:$F$1,0)))+Weights!$I$10*IF(Weights!$J$10=0,$E81,INDEX(Resources!$B$2:$F$10,MATCH(CHOOSE(Weights!$J$10,$B81,$C81,$D81),Resources!$A$2:$A$10,0),MATCH(Weights!$K$10,Resources!$B$1:$F$1,0))))/10</f>
        <v>69.3166666666667</v>
      </c>
      <c r="N81" s="3" t="str">
        <f aca="false">IF(M81&lt;40,"Poor",IF(M81&lt;55,"Basic",IF(M81&lt;70,"Solid",IF(M81&lt;85,"Strong",IF(M81&lt;95,"Excellent","Exceptional")))))</f>
        <v>Solid</v>
      </c>
      <c r="O81" s="6" t="n">
        <f aca="false">MIN(100,MAX(G81,J81,M81)*(1+0.05*3))</f>
        <v>79.7141666666667</v>
      </c>
      <c r="P81" s="3" t="str">
        <f aca="false">IF(O81&lt;40,"Poor",IF(O81&lt;55,"Basic",IF(O81&lt;70,"Solid",IF(O81&lt;85,"Strong",IF(O81&lt;95,"Excellent","Exceptional")))))</f>
        <v>Strong</v>
      </c>
    </row>
    <row r="82" customFormat="false" ht="15" hidden="false" customHeight="true" outlineLevel="0" collapsed="false">
      <c r="A82" s="3" t="s">
        <v>39</v>
      </c>
      <c r="B82" s="4" t="s">
        <v>10</v>
      </c>
      <c r="C82" s="4" t="s">
        <v>10</v>
      </c>
      <c r="D82" s="4" t="s">
        <v>18</v>
      </c>
      <c r="E82" s="3" t="n">
        <f aca="false">AVERAGE(INDEX(Resources!$B$2:$F$10,MATCH($B82,Resources!$A$2:$A$10,0),1),INDEX(Resources!$B$2:$F$10,MATCH($C82,Resources!$A$2:$A$10,0),1),INDEX(Resources!$B$2:$F$10,MATCH($D82,Resources!$A$2:$A$10,0),1))</f>
        <v>673.333333333333</v>
      </c>
      <c r="F82" s="3" t="s">
        <v>40</v>
      </c>
      <c r="G82" s="6" t="n">
        <f aca="false">(Weights!$C$8*IF(Weights!$D$8=0,$E82,INDEX(Resources!$B$2:$F$10,MATCH(CHOOSE(Weights!$D$8,$B82,$C82,$D82),Resources!$A$2:$A$10,0),MATCH(Weights!$E$8,Resources!$B$1:$F$1,0)))+Weights!$F$8*IF(Weights!$G$8=0,$E82,INDEX(Resources!$B$2:$F$10,MATCH(CHOOSE(Weights!$G$8,$B82,$C82,$D82),Resources!$A$2:$A$10,0),MATCH(Weights!$H$8,Resources!$B$1:$F$1,0)))+Weights!$I$8*IF(Weights!$J$8=0,$E82,INDEX(Resources!$B$2:$F$10,MATCH(CHOOSE(Weights!$J$8,$B82,$C82,$D82),Resources!$A$2:$A$10,0),MATCH(Weights!$K$8,Resources!$B$1:$F$1,0))))/10</f>
        <v>62.5833333333333</v>
      </c>
      <c r="H82" s="3" t="str">
        <f aca="false">IF(G82&lt;40,"Poor",IF(G82&lt;55,"Basic",IF(G82&lt;70,"Solid",IF(G82&lt;85,"Strong",IF(G82&lt;95,"Excellent","Exceptional")))))</f>
        <v>Solid</v>
      </c>
      <c r="I82" s="3" t="s">
        <v>41</v>
      </c>
      <c r="J82" s="6" t="n">
        <f aca="false">(Weights!$C$9*IF(Weights!$D$9=0,$E82,INDEX(Resources!$B$2:$F$10,MATCH(CHOOSE(Weights!$D$9,$B82,$C82,$D82),Resources!$A$2:$A$10,0),MATCH(Weights!$E$9,Resources!$B$1:$F$1,0)))+Weights!$F$9*IF(Weights!$G$9=0,$E82,INDEX(Resources!$B$2:$F$10,MATCH(CHOOSE(Weights!$G$9,$B82,$C82,$D82),Resources!$A$2:$A$10,0),MATCH(Weights!$H$9,Resources!$B$1:$F$1,0)))+Weights!$I$9*IF(Weights!$J$9=0,$E82,INDEX(Resources!$B$2:$F$10,MATCH(CHOOSE(Weights!$J$9,$B82,$C82,$D82),Resources!$A$2:$A$10,0),MATCH(Weights!$K$9,Resources!$B$1:$F$1,0))))/10</f>
        <v>54.1666666666667</v>
      </c>
      <c r="K82" s="3" t="str">
        <f aca="false">IF(J82&lt;40,"Poor",IF(J82&lt;55,"Basic",IF(J82&lt;70,"Solid",IF(J82&lt;85,"Strong",IF(J82&lt;95,"Excellent","Exceptional")))))</f>
        <v>Basic</v>
      </c>
      <c r="L82" s="3" t="s">
        <v>42</v>
      </c>
      <c r="M82" s="6" t="n">
        <f aca="false">(Weights!$C$10*IF(Weights!$D$10=0,$E82,INDEX(Resources!$B$2:$F$10,MATCH(CHOOSE(Weights!$D$10,$B82,$C82,$D82),Resources!$A$2:$A$10,0),MATCH(Weights!$E$10,Resources!$B$1:$F$1,0)))+Weights!$F$10*IF(Weights!$G$10=0,$E82,INDEX(Resources!$B$2:$F$10,MATCH(CHOOSE(Weights!$G$10,$B82,$C82,$D82),Resources!$A$2:$A$10,0),MATCH(Weights!$H$10,Resources!$B$1:$F$1,0)))+Weights!$I$10*IF(Weights!$J$10=0,$E82,INDEX(Resources!$B$2:$F$10,MATCH(CHOOSE(Weights!$J$10,$B82,$C82,$D82),Resources!$A$2:$A$10,0),MATCH(Weights!$K$10,Resources!$B$1:$F$1,0))))/10</f>
        <v>71.7666666666667</v>
      </c>
      <c r="N82" s="3" t="str">
        <f aca="false">IF(M82&lt;40,"Poor",IF(M82&lt;55,"Basic",IF(M82&lt;70,"Solid",IF(M82&lt;85,"Strong",IF(M82&lt;95,"Excellent","Exceptional")))))</f>
        <v>Strong</v>
      </c>
      <c r="O82" s="6" t="n">
        <f aca="false">MIN(100,MAX(G82,J82,M82)*(1+0.05*3))</f>
        <v>82.5316666666667</v>
      </c>
      <c r="P82" s="3" t="str">
        <f aca="false">IF(O82&lt;40,"Poor",IF(O82&lt;55,"Basic",IF(O82&lt;70,"Solid",IF(O82&lt;85,"Strong",IF(O82&lt;95,"Excellent","Exceptional")))))</f>
        <v>Strong</v>
      </c>
    </row>
    <row r="83" customFormat="false" ht="15" hidden="false" customHeight="true" outlineLevel="0" collapsed="false">
      <c r="A83" s="3" t="s">
        <v>43</v>
      </c>
      <c r="B83" s="4" t="s">
        <v>11</v>
      </c>
      <c r="C83" s="4" t="s">
        <v>15</v>
      </c>
      <c r="D83" s="4" t="s">
        <v>7</v>
      </c>
      <c r="E83" s="3" t="n">
        <f aca="false">AVERAGE(INDEX(Resources!$B$2:$F$10,MATCH($B83,Resources!$A$2:$A$10,0),1),INDEX(Resources!$B$2:$F$10,MATCH($C83,Resources!$A$2:$A$10,0),1),INDEX(Resources!$B$2:$F$10,MATCH($D83,Resources!$A$2:$A$10,0),1))</f>
        <v>513.333333333333</v>
      </c>
      <c r="F83" s="3" t="s">
        <v>44</v>
      </c>
      <c r="G83" s="6" t="n">
        <f aca="false">(Weights!$C$11*IF(Weights!$D$11=0,$E83,INDEX(Resources!$B$2:$F$10,MATCH(CHOOSE(Weights!$D$11,$B83,$C83,$D83),Resources!$A$2:$A$10,0),MATCH(Weights!$E$11,Resources!$B$1:$F$1,0)))+Weights!$F$11*IF(Weights!$G$11=0,$E83,INDEX(Resources!$B$2:$F$10,MATCH(CHOOSE(Weights!$G$11,$B83,$C83,$D83),Resources!$A$2:$A$10,0),MATCH(Weights!$H$11,Resources!$B$1:$F$1,0)))+Weights!$I$11*IF(Weights!$J$11=0,$E83,INDEX(Resources!$B$2:$F$10,MATCH(CHOOSE(Weights!$J$11,$B83,$C83,$D83),Resources!$A$2:$A$10,0),MATCH(Weights!$K$11,Resources!$B$1:$F$1,0))))/10</f>
        <v>57.3</v>
      </c>
      <c r="H83" s="3" t="str">
        <f aca="false">IF(G83&lt;40,"Poor",IF(G83&lt;55,"Basic",IF(G83&lt;70,"Solid",IF(G83&lt;85,"Strong",IF(G83&lt;95,"Excellent","Exceptional")))))</f>
        <v>Solid</v>
      </c>
      <c r="I83" s="3" t="s">
        <v>45</v>
      </c>
      <c r="J83" s="6" t="n">
        <f aca="false">(Weights!$C$12*IF(Weights!$D$12=0,$E83,INDEX(Resources!$B$2:$F$10,MATCH(CHOOSE(Weights!$D$12,$B83,$C83,$D83),Resources!$A$2:$A$10,0),MATCH(Weights!$E$12,Resources!$B$1:$F$1,0)))+Weights!$F$12*IF(Weights!$G$12=0,$E83,INDEX(Resources!$B$2:$F$10,MATCH(CHOOSE(Weights!$G$12,$B83,$C83,$D83),Resources!$A$2:$A$10,0),MATCH(Weights!$H$12,Resources!$B$1:$F$1,0)))+Weights!$I$12*IF(Weights!$J$12=0,$E83,INDEX(Resources!$B$2:$F$10,MATCH(CHOOSE(Weights!$J$12,$B83,$C83,$D83),Resources!$A$2:$A$10,0),MATCH(Weights!$K$12,Resources!$B$1:$F$1,0))))/10</f>
        <v>67.1666666666667</v>
      </c>
      <c r="K83" s="3" t="str">
        <f aca="false">IF(J83&lt;40,"Poor",IF(J83&lt;55,"Basic",IF(J83&lt;70,"Solid",IF(J83&lt;85,"Strong",IF(J83&lt;95,"Excellent","Exceptional")))))</f>
        <v>Solid</v>
      </c>
      <c r="L83" s="3" t="s">
        <v>46</v>
      </c>
      <c r="M83" s="6" t="n">
        <f aca="false">(Weights!$C$13*IF(Weights!$D$13=0,$E83,INDEX(Resources!$B$2:$F$10,MATCH(CHOOSE(Weights!$D$13,$B83,$C83,$D83),Resources!$A$2:$A$10,0),MATCH(Weights!$E$13,Resources!$B$1:$F$1,0)))+Weights!$F$13*IF(Weights!$G$13=0,$E83,INDEX(Resources!$B$2:$F$10,MATCH(CHOOSE(Weights!$G$13,$B83,$C83,$D83),Resources!$A$2:$A$10,0),MATCH(Weights!$H$13,Resources!$B$1:$F$1,0)))+Weights!$I$13*IF(Weights!$J$13=0,$E83,INDEX(Resources!$B$2:$F$10,MATCH(CHOOSE(Weights!$J$13,$B83,$C83,$D83),Resources!$A$2:$A$10,0),MATCH(Weights!$K$13,Resources!$B$1:$F$1,0))))/10</f>
        <v>65.8166666666667</v>
      </c>
      <c r="N83" s="3" t="str">
        <f aca="false">IF(M83&lt;40,"Poor",IF(M83&lt;55,"Basic",IF(M83&lt;70,"Solid",IF(M83&lt;85,"Strong",IF(M83&lt;95,"Excellent","Exceptional")))))</f>
        <v>Solid</v>
      </c>
      <c r="O83" s="6" t="n">
        <f aca="false">MIN(100,MAX(G83,J83,M83)*(1+0.05*3))</f>
        <v>77.2416666666667</v>
      </c>
      <c r="P83" s="3" t="str">
        <f aca="false">IF(O83&lt;40,"Poor",IF(O83&lt;55,"Basic",IF(O83&lt;70,"Solid",IF(O83&lt;85,"Strong",IF(O83&lt;95,"Excellent","Exceptional")))))</f>
        <v>Strong</v>
      </c>
    </row>
    <row r="84" customFormat="false" ht="15" hidden="false" customHeight="true" outlineLevel="0" collapsed="false">
      <c r="A84" s="3" t="s">
        <v>43</v>
      </c>
      <c r="B84" s="4" t="s">
        <v>11</v>
      </c>
      <c r="C84" s="4" t="s">
        <v>15</v>
      </c>
      <c r="D84" s="4" t="s">
        <v>9</v>
      </c>
      <c r="E84" s="3" t="n">
        <f aca="false">AVERAGE(INDEX(Resources!$B$2:$F$10,MATCH($B84,Resources!$A$2:$A$10,0),1),INDEX(Resources!$B$2:$F$10,MATCH($C84,Resources!$A$2:$A$10,0),1),INDEX(Resources!$B$2:$F$10,MATCH($D84,Resources!$A$2:$A$10,0),1))</f>
        <v>570</v>
      </c>
      <c r="F84" s="3" t="s">
        <v>44</v>
      </c>
      <c r="G84" s="6" t="n">
        <f aca="false">(Weights!$C$11*IF(Weights!$D$11=0,$E84,INDEX(Resources!$B$2:$F$10,MATCH(CHOOSE(Weights!$D$11,$B84,$C84,$D84),Resources!$A$2:$A$10,0),MATCH(Weights!$E$11,Resources!$B$1:$F$1,0)))+Weights!$F$11*IF(Weights!$G$11=0,$E84,INDEX(Resources!$B$2:$F$10,MATCH(CHOOSE(Weights!$G$11,$B84,$C84,$D84),Resources!$A$2:$A$10,0),MATCH(Weights!$H$11,Resources!$B$1:$F$1,0)))+Weights!$I$11*IF(Weights!$J$11=0,$E84,INDEX(Resources!$B$2:$F$10,MATCH(CHOOSE(Weights!$J$11,$B84,$C84,$D84),Resources!$A$2:$A$10,0),MATCH(Weights!$K$11,Resources!$B$1:$F$1,0))))/10</f>
        <v>58.15</v>
      </c>
      <c r="H84" s="3" t="str">
        <f aca="false">IF(G84&lt;40,"Poor",IF(G84&lt;55,"Basic",IF(G84&lt;70,"Solid",IF(G84&lt;85,"Strong",IF(G84&lt;95,"Excellent","Exceptional")))))</f>
        <v>Solid</v>
      </c>
      <c r="I84" s="3" t="s">
        <v>45</v>
      </c>
      <c r="J84" s="6" t="n">
        <f aca="false">(Weights!$C$12*IF(Weights!$D$12=0,$E84,INDEX(Resources!$B$2:$F$10,MATCH(CHOOSE(Weights!$D$12,$B84,$C84,$D84),Resources!$A$2:$A$10,0),MATCH(Weights!$E$12,Resources!$B$1:$F$1,0)))+Weights!$F$12*IF(Weights!$G$12=0,$E84,INDEX(Resources!$B$2:$F$10,MATCH(CHOOSE(Weights!$G$12,$B84,$C84,$D84),Resources!$A$2:$A$10,0),MATCH(Weights!$H$12,Resources!$B$1:$F$1,0)))+Weights!$I$12*IF(Weights!$J$12=0,$E84,INDEX(Resources!$B$2:$F$10,MATCH(CHOOSE(Weights!$J$12,$B84,$C84,$D84),Resources!$A$2:$A$10,0),MATCH(Weights!$K$12,Resources!$B$1:$F$1,0))))/10</f>
        <v>68.3</v>
      </c>
      <c r="K84" s="3" t="str">
        <f aca="false">IF(J84&lt;40,"Poor",IF(J84&lt;55,"Basic",IF(J84&lt;70,"Solid",IF(J84&lt;85,"Strong",IF(J84&lt;95,"Excellent","Exceptional")))))</f>
        <v>Solid</v>
      </c>
      <c r="L84" s="3" t="s">
        <v>46</v>
      </c>
      <c r="M84" s="6" t="n">
        <f aca="false">(Weights!$C$13*IF(Weights!$D$13=0,$E84,INDEX(Resources!$B$2:$F$10,MATCH(CHOOSE(Weights!$D$13,$B84,$C84,$D84),Resources!$A$2:$A$10,0),MATCH(Weights!$E$13,Resources!$B$1:$F$1,0)))+Weights!$F$13*IF(Weights!$G$13=0,$E84,INDEX(Resources!$B$2:$F$10,MATCH(CHOOSE(Weights!$G$13,$B84,$C84,$D84),Resources!$A$2:$A$10,0),MATCH(Weights!$H$13,Resources!$B$1:$F$1,0)))+Weights!$I$13*IF(Weights!$J$13=0,$E84,INDEX(Resources!$B$2:$F$10,MATCH(CHOOSE(Weights!$J$13,$B84,$C84,$D84),Resources!$A$2:$A$10,0),MATCH(Weights!$K$13,Resources!$B$1:$F$1,0))))/10</f>
        <v>66.95</v>
      </c>
      <c r="N84" s="3" t="str">
        <f aca="false">IF(M84&lt;40,"Poor",IF(M84&lt;55,"Basic",IF(M84&lt;70,"Solid",IF(M84&lt;85,"Strong",IF(M84&lt;95,"Excellent","Exceptional")))))</f>
        <v>Solid</v>
      </c>
      <c r="O84" s="6" t="n">
        <f aca="false">MIN(100,MAX(G84,J84,M84)*(1+0.05*3))</f>
        <v>78.545</v>
      </c>
      <c r="P84" s="3" t="str">
        <f aca="false">IF(O84&lt;40,"Poor",IF(O84&lt;55,"Basic",IF(O84&lt;70,"Solid",IF(O84&lt;85,"Strong",IF(O84&lt;95,"Excellent","Exceptional")))))</f>
        <v>Strong</v>
      </c>
    </row>
    <row r="85" customFormat="false" ht="15" hidden="false" customHeight="true" outlineLevel="0" collapsed="false">
      <c r="A85" s="3" t="s">
        <v>43</v>
      </c>
      <c r="B85" s="4" t="s">
        <v>11</v>
      </c>
      <c r="C85" s="4" t="s">
        <v>15</v>
      </c>
      <c r="D85" s="4" t="s">
        <v>10</v>
      </c>
      <c r="E85" s="3" t="n">
        <f aca="false">AVERAGE(INDEX(Resources!$B$2:$F$10,MATCH($B85,Resources!$A$2:$A$10,0),1),INDEX(Resources!$B$2:$F$10,MATCH($C85,Resources!$A$2:$A$10,0),1),INDEX(Resources!$B$2:$F$10,MATCH($D85,Resources!$A$2:$A$10,0),1))</f>
        <v>543.333333333333</v>
      </c>
      <c r="F85" s="3" t="s">
        <v>44</v>
      </c>
      <c r="G85" s="6" t="n">
        <f aca="false">(Weights!$C$11*IF(Weights!$D$11=0,$E85,INDEX(Resources!$B$2:$F$10,MATCH(CHOOSE(Weights!$D$11,$B85,$C85,$D85),Resources!$A$2:$A$10,0),MATCH(Weights!$E$11,Resources!$B$1:$F$1,0)))+Weights!$F$11*IF(Weights!$G$11=0,$E85,INDEX(Resources!$B$2:$F$10,MATCH(CHOOSE(Weights!$G$11,$B85,$C85,$D85),Resources!$A$2:$A$10,0),MATCH(Weights!$H$11,Resources!$B$1:$F$1,0)))+Weights!$I$11*IF(Weights!$J$11=0,$E85,INDEX(Resources!$B$2:$F$10,MATCH(CHOOSE(Weights!$J$11,$B85,$C85,$D85),Resources!$A$2:$A$10,0),MATCH(Weights!$K$11,Resources!$B$1:$F$1,0))))/10</f>
        <v>57.75</v>
      </c>
      <c r="H85" s="3" t="str">
        <f aca="false">IF(G85&lt;40,"Poor",IF(G85&lt;55,"Basic",IF(G85&lt;70,"Solid",IF(G85&lt;85,"Strong",IF(G85&lt;95,"Excellent","Exceptional")))))</f>
        <v>Solid</v>
      </c>
      <c r="I85" s="3" t="s">
        <v>45</v>
      </c>
      <c r="J85" s="6" t="n">
        <f aca="false">(Weights!$C$12*IF(Weights!$D$12=0,$E85,INDEX(Resources!$B$2:$F$10,MATCH(CHOOSE(Weights!$D$12,$B85,$C85,$D85),Resources!$A$2:$A$10,0),MATCH(Weights!$E$12,Resources!$B$1:$F$1,0)))+Weights!$F$12*IF(Weights!$G$12=0,$E85,INDEX(Resources!$B$2:$F$10,MATCH(CHOOSE(Weights!$G$12,$B85,$C85,$D85),Resources!$A$2:$A$10,0),MATCH(Weights!$H$12,Resources!$B$1:$F$1,0)))+Weights!$I$12*IF(Weights!$J$12=0,$E85,INDEX(Resources!$B$2:$F$10,MATCH(CHOOSE(Weights!$J$12,$B85,$C85,$D85),Resources!$A$2:$A$10,0),MATCH(Weights!$K$12,Resources!$B$1:$F$1,0))))/10</f>
        <v>67.7666666666667</v>
      </c>
      <c r="K85" s="3" t="str">
        <f aca="false">IF(J85&lt;40,"Poor",IF(J85&lt;55,"Basic",IF(J85&lt;70,"Solid",IF(J85&lt;85,"Strong",IF(J85&lt;95,"Excellent","Exceptional")))))</f>
        <v>Solid</v>
      </c>
      <c r="L85" s="3" t="s">
        <v>46</v>
      </c>
      <c r="M85" s="6" t="n">
        <f aca="false">(Weights!$C$13*IF(Weights!$D$13=0,$E85,INDEX(Resources!$B$2:$F$10,MATCH(CHOOSE(Weights!$D$13,$B85,$C85,$D85),Resources!$A$2:$A$10,0),MATCH(Weights!$E$13,Resources!$B$1:$F$1,0)))+Weights!$F$13*IF(Weights!$G$13=0,$E85,INDEX(Resources!$B$2:$F$10,MATCH(CHOOSE(Weights!$G$13,$B85,$C85,$D85),Resources!$A$2:$A$10,0),MATCH(Weights!$H$13,Resources!$B$1:$F$1,0)))+Weights!$I$13*IF(Weights!$J$13=0,$E85,INDEX(Resources!$B$2:$F$10,MATCH(CHOOSE(Weights!$J$13,$B85,$C85,$D85),Resources!$A$2:$A$10,0),MATCH(Weights!$K$13,Resources!$B$1:$F$1,0))))/10</f>
        <v>66.4166666666667</v>
      </c>
      <c r="N85" s="3" t="str">
        <f aca="false">IF(M85&lt;40,"Poor",IF(M85&lt;55,"Basic",IF(M85&lt;70,"Solid",IF(M85&lt;85,"Strong",IF(M85&lt;95,"Excellent","Exceptional")))))</f>
        <v>Solid</v>
      </c>
      <c r="O85" s="6" t="n">
        <f aca="false">MIN(100,MAX(G85,J85,M85)*(1+0.05*3))</f>
        <v>77.9316666666667</v>
      </c>
      <c r="P85" s="3" t="str">
        <f aca="false">IF(O85&lt;40,"Poor",IF(O85&lt;55,"Basic",IF(O85&lt;70,"Solid",IF(O85&lt;85,"Strong",IF(O85&lt;95,"Excellent","Exceptional")))))</f>
        <v>Strong</v>
      </c>
    </row>
    <row r="86" customFormat="false" ht="15" hidden="false" customHeight="true" outlineLevel="0" collapsed="false">
      <c r="A86" s="3" t="s">
        <v>43</v>
      </c>
      <c r="B86" s="4" t="s">
        <v>11</v>
      </c>
      <c r="C86" s="4" t="s">
        <v>17</v>
      </c>
      <c r="D86" s="4" t="s">
        <v>7</v>
      </c>
      <c r="E86" s="3" t="n">
        <f aca="false">AVERAGE(INDEX(Resources!$B$2:$F$10,MATCH($B86,Resources!$A$2:$A$10,0),1),INDEX(Resources!$B$2:$F$10,MATCH($C86,Resources!$A$2:$A$10,0),1),INDEX(Resources!$B$2:$F$10,MATCH($D86,Resources!$A$2:$A$10,0),1))</f>
        <v>483.333333333333</v>
      </c>
      <c r="F86" s="3" t="s">
        <v>44</v>
      </c>
      <c r="G86" s="6" t="n">
        <f aca="false">(Weights!$C$11*IF(Weights!$D$11=0,$E86,INDEX(Resources!$B$2:$F$10,MATCH(CHOOSE(Weights!$D$11,$B86,$C86,$D86),Resources!$A$2:$A$10,0),MATCH(Weights!$E$11,Resources!$B$1:$F$1,0)))+Weights!$F$11*IF(Weights!$G$11=0,$E86,INDEX(Resources!$B$2:$F$10,MATCH(CHOOSE(Weights!$G$11,$B86,$C86,$D86),Resources!$A$2:$A$10,0),MATCH(Weights!$H$11,Resources!$B$1:$F$1,0)))+Weights!$I$11*IF(Weights!$J$11=0,$E86,INDEX(Resources!$B$2:$F$10,MATCH(CHOOSE(Weights!$J$11,$B86,$C86,$D86),Resources!$A$2:$A$10,0),MATCH(Weights!$K$11,Resources!$B$1:$F$1,0))))/10</f>
        <v>66.6</v>
      </c>
      <c r="H86" s="3" t="str">
        <f aca="false">IF(G86&lt;40,"Poor",IF(G86&lt;55,"Basic",IF(G86&lt;70,"Solid",IF(G86&lt;85,"Strong",IF(G86&lt;95,"Excellent","Exceptional")))))</f>
        <v>Solid</v>
      </c>
      <c r="I86" s="3" t="s">
        <v>45</v>
      </c>
      <c r="J86" s="6" t="n">
        <f aca="false">(Weights!$C$12*IF(Weights!$D$12=0,$E86,INDEX(Resources!$B$2:$F$10,MATCH(CHOOSE(Weights!$D$12,$B86,$C86,$D86),Resources!$A$2:$A$10,0),MATCH(Weights!$E$12,Resources!$B$1:$F$1,0)))+Weights!$F$12*IF(Weights!$G$12=0,$E86,INDEX(Resources!$B$2:$F$10,MATCH(CHOOSE(Weights!$G$12,$B86,$C86,$D86),Resources!$A$2:$A$10,0),MATCH(Weights!$H$12,Resources!$B$1:$F$1,0)))+Weights!$I$12*IF(Weights!$J$12=0,$E86,INDEX(Resources!$B$2:$F$10,MATCH(CHOOSE(Weights!$J$12,$B86,$C86,$D86),Resources!$A$2:$A$10,0),MATCH(Weights!$K$12,Resources!$B$1:$F$1,0))))/10</f>
        <v>46.4666666666667</v>
      </c>
      <c r="K86" s="3" t="str">
        <f aca="false">IF(J86&lt;40,"Poor",IF(J86&lt;55,"Basic",IF(J86&lt;70,"Solid",IF(J86&lt;85,"Strong",IF(J86&lt;95,"Excellent","Exceptional")))))</f>
        <v>Basic</v>
      </c>
      <c r="L86" s="3" t="s">
        <v>46</v>
      </c>
      <c r="M86" s="6" t="n">
        <f aca="false">(Weights!$C$13*IF(Weights!$D$13=0,$E86,INDEX(Resources!$B$2:$F$10,MATCH(CHOOSE(Weights!$D$13,$B86,$C86,$D86),Resources!$A$2:$A$10,0),MATCH(Weights!$E$13,Resources!$B$1:$F$1,0)))+Weights!$F$13*IF(Weights!$G$13=0,$E86,INDEX(Resources!$B$2:$F$10,MATCH(CHOOSE(Weights!$G$13,$B86,$C86,$D86),Resources!$A$2:$A$10,0),MATCH(Weights!$H$13,Resources!$B$1:$F$1,0)))+Weights!$I$13*IF(Weights!$J$13=0,$E86,INDEX(Resources!$B$2:$F$10,MATCH(CHOOSE(Weights!$J$13,$B86,$C86,$D86),Resources!$A$2:$A$10,0),MATCH(Weights!$K$13,Resources!$B$1:$F$1,0))))/10</f>
        <v>48.4666666666667</v>
      </c>
      <c r="N86" s="3" t="str">
        <f aca="false">IF(M86&lt;40,"Poor",IF(M86&lt;55,"Basic",IF(M86&lt;70,"Solid",IF(M86&lt;85,"Strong",IF(M86&lt;95,"Excellent","Exceptional")))))</f>
        <v>Basic</v>
      </c>
      <c r="O86" s="6" t="n">
        <f aca="false">MIN(100,MAX(G86,J86,M86)*(1+0.05*3))</f>
        <v>76.59</v>
      </c>
      <c r="P86" s="3" t="str">
        <f aca="false">IF(O86&lt;40,"Poor",IF(O86&lt;55,"Basic",IF(O86&lt;70,"Solid",IF(O86&lt;85,"Strong",IF(O86&lt;95,"Excellent","Exceptional")))))</f>
        <v>Strong</v>
      </c>
    </row>
    <row r="87" customFormat="false" ht="15" hidden="false" customHeight="true" outlineLevel="0" collapsed="false">
      <c r="A87" s="3" t="s">
        <v>43</v>
      </c>
      <c r="B87" s="4" t="s">
        <v>11</v>
      </c>
      <c r="C87" s="4" t="s">
        <v>17</v>
      </c>
      <c r="D87" s="4" t="s">
        <v>9</v>
      </c>
      <c r="E87" s="3" t="n">
        <f aca="false">AVERAGE(INDEX(Resources!$B$2:$F$10,MATCH($B87,Resources!$A$2:$A$10,0),1),INDEX(Resources!$B$2:$F$10,MATCH($C87,Resources!$A$2:$A$10,0),1),INDEX(Resources!$B$2:$F$10,MATCH($D87,Resources!$A$2:$A$10,0),1))</f>
        <v>540</v>
      </c>
      <c r="F87" s="3" t="s">
        <v>44</v>
      </c>
      <c r="G87" s="6" t="n">
        <f aca="false">(Weights!$C$11*IF(Weights!$D$11=0,$E87,INDEX(Resources!$B$2:$F$10,MATCH(CHOOSE(Weights!$D$11,$B87,$C87,$D87),Resources!$A$2:$A$10,0),MATCH(Weights!$E$11,Resources!$B$1:$F$1,0)))+Weights!$F$11*IF(Weights!$G$11=0,$E87,INDEX(Resources!$B$2:$F$10,MATCH(CHOOSE(Weights!$G$11,$B87,$C87,$D87),Resources!$A$2:$A$10,0),MATCH(Weights!$H$11,Resources!$B$1:$F$1,0)))+Weights!$I$11*IF(Weights!$J$11=0,$E87,INDEX(Resources!$B$2:$F$10,MATCH(CHOOSE(Weights!$J$11,$B87,$C87,$D87),Resources!$A$2:$A$10,0),MATCH(Weights!$K$11,Resources!$B$1:$F$1,0))))/10</f>
        <v>67.45</v>
      </c>
      <c r="H87" s="3" t="str">
        <f aca="false">IF(G87&lt;40,"Poor",IF(G87&lt;55,"Basic",IF(G87&lt;70,"Solid",IF(G87&lt;85,"Strong",IF(G87&lt;95,"Excellent","Exceptional")))))</f>
        <v>Solid</v>
      </c>
      <c r="I87" s="3" t="s">
        <v>45</v>
      </c>
      <c r="J87" s="6" t="n">
        <f aca="false">(Weights!$C$12*IF(Weights!$D$12=0,$E87,INDEX(Resources!$B$2:$F$10,MATCH(CHOOSE(Weights!$D$12,$B87,$C87,$D87),Resources!$A$2:$A$10,0),MATCH(Weights!$E$12,Resources!$B$1:$F$1,0)))+Weights!$F$12*IF(Weights!$G$12=0,$E87,INDEX(Resources!$B$2:$F$10,MATCH(CHOOSE(Weights!$G$12,$B87,$C87,$D87),Resources!$A$2:$A$10,0),MATCH(Weights!$H$12,Resources!$B$1:$F$1,0)))+Weights!$I$12*IF(Weights!$J$12=0,$E87,INDEX(Resources!$B$2:$F$10,MATCH(CHOOSE(Weights!$J$12,$B87,$C87,$D87),Resources!$A$2:$A$10,0),MATCH(Weights!$K$12,Resources!$B$1:$F$1,0))))/10</f>
        <v>47.6</v>
      </c>
      <c r="K87" s="3" t="str">
        <f aca="false">IF(J87&lt;40,"Poor",IF(J87&lt;55,"Basic",IF(J87&lt;70,"Solid",IF(J87&lt;85,"Strong",IF(J87&lt;95,"Excellent","Exceptional")))))</f>
        <v>Basic</v>
      </c>
      <c r="L87" s="3" t="s">
        <v>46</v>
      </c>
      <c r="M87" s="6" t="n">
        <f aca="false">(Weights!$C$13*IF(Weights!$D$13=0,$E87,INDEX(Resources!$B$2:$F$10,MATCH(CHOOSE(Weights!$D$13,$B87,$C87,$D87),Resources!$A$2:$A$10,0),MATCH(Weights!$E$13,Resources!$B$1:$F$1,0)))+Weights!$F$13*IF(Weights!$G$13=0,$E87,INDEX(Resources!$B$2:$F$10,MATCH(CHOOSE(Weights!$G$13,$B87,$C87,$D87),Resources!$A$2:$A$10,0),MATCH(Weights!$H$13,Resources!$B$1:$F$1,0)))+Weights!$I$13*IF(Weights!$J$13=0,$E87,INDEX(Resources!$B$2:$F$10,MATCH(CHOOSE(Weights!$J$13,$B87,$C87,$D87),Resources!$A$2:$A$10,0),MATCH(Weights!$K$13,Resources!$B$1:$F$1,0))))/10</f>
        <v>49.6</v>
      </c>
      <c r="N87" s="3" t="str">
        <f aca="false">IF(M87&lt;40,"Poor",IF(M87&lt;55,"Basic",IF(M87&lt;70,"Solid",IF(M87&lt;85,"Strong",IF(M87&lt;95,"Excellent","Exceptional")))))</f>
        <v>Basic</v>
      </c>
      <c r="O87" s="6" t="n">
        <f aca="false">MIN(100,MAX(G87,J87,M87)*(1+0.05*3))</f>
        <v>77.5675</v>
      </c>
      <c r="P87" s="3" t="str">
        <f aca="false">IF(O87&lt;40,"Poor",IF(O87&lt;55,"Basic",IF(O87&lt;70,"Solid",IF(O87&lt;85,"Strong",IF(O87&lt;95,"Excellent","Exceptional")))))</f>
        <v>Strong</v>
      </c>
    </row>
    <row r="88" customFormat="false" ht="15" hidden="false" customHeight="true" outlineLevel="0" collapsed="false">
      <c r="A88" s="3" t="s">
        <v>43</v>
      </c>
      <c r="B88" s="4" t="s">
        <v>11</v>
      </c>
      <c r="C88" s="4" t="s">
        <v>17</v>
      </c>
      <c r="D88" s="4" t="s">
        <v>10</v>
      </c>
      <c r="E88" s="3" t="n">
        <f aca="false">AVERAGE(INDEX(Resources!$B$2:$F$10,MATCH($B88,Resources!$A$2:$A$10,0),1),INDEX(Resources!$B$2:$F$10,MATCH($C88,Resources!$A$2:$A$10,0),1),INDEX(Resources!$B$2:$F$10,MATCH($D88,Resources!$A$2:$A$10,0),1))</f>
        <v>513.333333333333</v>
      </c>
      <c r="F88" s="3" t="s">
        <v>44</v>
      </c>
      <c r="G88" s="6" t="n">
        <f aca="false">(Weights!$C$11*IF(Weights!$D$11=0,$E88,INDEX(Resources!$B$2:$F$10,MATCH(CHOOSE(Weights!$D$11,$B88,$C88,$D88),Resources!$A$2:$A$10,0),MATCH(Weights!$E$11,Resources!$B$1:$F$1,0)))+Weights!$F$11*IF(Weights!$G$11=0,$E88,INDEX(Resources!$B$2:$F$10,MATCH(CHOOSE(Weights!$G$11,$B88,$C88,$D88),Resources!$A$2:$A$10,0),MATCH(Weights!$H$11,Resources!$B$1:$F$1,0)))+Weights!$I$11*IF(Weights!$J$11=0,$E88,INDEX(Resources!$B$2:$F$10,MATCH(CHOOSE(Weights!$J$11,$B88,$C88,$D88),Resources!$A$2:$A$10,0),MATCH(Weights!$K$11,Resources!$B$1:$F$1,0))))/10</f>
        <v>67.05</v>
      </c>
      <c r="H88" s="3" t="str">
        <f aca="false">IF(G88&lt;40,"Poor",IF(G88&lt;55,"Basic",IF(G88&lt;70,"Solid",IF(G88&lt;85,"Strong",IF(G88&lt;95,"Excellent","Exceptional")))))</f>
        <v>Solid</v>
      </c>
      <c r="I88" s="3" t="s">
        <v>45</v>
      </c>
      <c r="J88" s="6" t="n">
        <f aca="false">(Weights!$C$12*IF(Weights!$D$12=0,$E88,INDEX(Resources!$B$2:$F$10,MATCH(CHOOSE(Weights!$D$12,$B88,$C88,$D88),Resources!$A$2:$A$10,0),MATCH(Weights!$E$12,Resources!$B$1:$F$1,0)))+Weights!$F$12*IF(Weights!$G$12=0,$E88,INDEX(Resources!$B$2:$F$10,MATCH(CHOOSE(Weights!$G$12,$B88,$C88,$D88),Resources!$A$2:$A$10,0),MATCH(Weights!$H$12,Resources!$B$1:$F$1,0)))+Weights!$I$12*IF(Weights!$J$12=0,$E88,INDEX(Resources!$B$2:$F$10,MATCH(CHOOSE(Weights!$J$12,$B88,$C88,$D88),Resources!$A$2:$A$10,0),MATCH(Weights!$K$12,Resources!$B$1:$F$1,0))))/10</f>
        <v>47.0666666666667</v>
      </c>
      <c r="K88" s="3" t="str">
        <f aca="false">IF(J88&lt;40,"Poor",IF(J88&lt;55,"Basic",IF(J88&lt;70,"Solid",IF(J88&lt;85,"Strong",IF(J88&lt;95,"Excellent","Exceptional")))))</f>
        <v>Basic</v>
      </c>
      <c r="L88" s="3" t="s">
        <v>46</v>
      </c>
      <c r="M88" s="6" t="n">
        <f aca="false">(Weights!$C$13*IF(Weights!$D$13=0,$E88,INDEX(Resources!$B$2:$F$10,MATCH(CHOOSE(Weights!$D$13,$B88,$C88,$D88),Resources!$A$2:$A$10,0),MATCH(Weights!$E$13,Resources!$B$1:$F$1,0)))+Weights!$F$13*IF(Weights!$G$13=0,$E88,INDEX(Resources!$B$2:$F$10,MATCH(CHOOSE(Weights!$G$13,$B88,$C88,$D88),Resources!$A$2:$A$10,0),MATCH(Weights!$H$13,Resources!$B$1:$F$1,0)))+Weights!$I$13*IF(Weights!$J$13=0,$E88,INDEX(Resources!$B$2:$F$10,MATCH(CHOOSE(Weights!$J$13,$B88,$C88,$D88),Resources!$A$2:$A$10,0),MATCH(Weights!$K$13,Resources!$B$1:$F$1,0))))/10</f>
        <v>49.0666666666667</v>
      </c>
      <c r="N88" s="3" t="str">
        <f aca="false">IF(M88&lt;40,"Poor",IF(M88&lt;55,"Basic",IF(M88&lt;70,"Solid",IF(M88&lt;85,"Strong",IF(M88&lt;95,"Excellent","Exceptional")))))</f>
        <v>Basic</v>
      </c>
      <c r="O88" s="6" t="n">
        <f aca="false">MIN(100,MAX(G88,J88,M88)*(1+0.05*3))</f>
        <v>77.1075</v>
      </c>
      <c r="P88" s="3" t="str">
        <f aca="false">IF(O88&lt;40,"Poor",IF(O88&lt;55,"Basic",IF(O88&lt;70,"Solid",IF(O88&lt;85,"Strong",IF(O88&lt;95,"Excellent","Exceptional")))))</f>
        <v>Strong</v>
      </c>
    </row>
    <row r="89" customFormat="false" ht="15" hidden="false" customHeight="true" outlineLevel="0" collapsed="false">
      <c r="A89" s="3" t="s">
        <v>43</v>
      </c>
      <c r="B89" s="4" t="s">
        <v>11</v>
      </c>
      <c r="C89" s="4" t="s">
        <v>18</v>
      </c>
      <c r="D89" s="4" t="s">
        <v>7</v>
      </c>
      <c r="E89" s="3" t="n">
        <f aca="false">AVERAGE(INDEX(Resources!$B$2:$F$10,MATCH($B89,Resources!$A$2:$A$10,0),1),INDEX(Resources!$B$2:$F$10,MATCH($C89,Resources!$A$2:$A$10,0),1),INDEX(Resources!$B$2:$F$10,MATCH($D89,Resources!$A$2:$A$10,0),1))</f>
        <v>553.333333333333</v>
      </c>
      <c r="F89" s="3" t="s">
        <v>44</v>
      </c>
      <c r="G89" s="6" t="n">
        <f aca="false">(Weights!$C$11*IF(Weights!$D$11=0,$E89,INDEX(Resources!$B$2:$F$10,MATCH(CHOOSE(Weights!$D$11,$B89,$C89,$D89),Resources!$A$2:$A$10,0),MATCH(Weights!$E$11,Resources!$B$1:$F$1,0)))+Weights!$F$11*IF(Weights!$G$11=0,$E89,INDEX(Resources!$B$2:$F$10,MATCH(CHOOSE(Weights!$G$11,$B89,$C89,$D89),Resources!$A$2:$A$10,0),MATCH(Weights!$H$11,Resources!$B$1:$F$1,0)))+Weights!$I$11*IF(Weights!$J$11=0,$E89,INDEX(Resources!$B$2:$F$10,MATCH(CHOOSE(Weights!$J$11,$B89,$C89,$D89),Resources!$A$2:$A$10,0),MATCH(Weights!$K$11,Resources!$B$1:$F$1,0))))/10</f>
        <v>61.9</v>
      </c>
      <c r="H89" s="3" t="str">
        <f aca="false">IF(G89&lt;40,"Poor",IF(G89&lt;55,"Basic",IF(G89&lt;70,"Solid",IF(G89&lt;85,"Strong",IF(G89&lt;95,"Excellent","Exceptional")))))</f>
        <v>Solid</v>
      </c>
      <c r="I89" s="3" t="s">
        <v>45</v>
      </c>
      <c r="J89" s="6" t="n">
        <f aca="false">(Weights!$C$12*IF(Weights!$D$12=0,$E89,INDEX(Resources!$B$2:$F$10,MATCH(CHOOSE(Weights!$D$12,$B89,$C89,$D89),Resources!$A$2:$A$10,0),MATCH(Weights!$E$12,Resources!$B$1:$F$1,0)))+Weights!$F$12*IF(Weights!$G$12=0,$E89,INDEX(Resources!$B$2:$F$10,MATCH(CHOOSE(Weights!$G$12,$B89,$C89,$D89),Resources!$A$2:$A$10,0),MATCH(Weights!$H$12,Resources!$B$1:$F$1,0)))+Weights!$I$12*IF(Weights!$J$12=0,$E89,INDEX(Resources!$B$2:$F$10,MATCH(CHOOSE(Weights!$J$12,$B89,$C89,$D89),Resources!$A$2:$A$10,0),MATCH(Weights!$K$12,Resources!$B$1:$F$1,0))))/10</f>
        <v>60.7666666666667</v>
      </c>
      <c r="K89" s="3" t="str">
        <f aca="false">IF(J89&lt;40,"Poor",IF(J89&lt;55,"Basic",IF(J89&lt;70,"Solid",IF(J89&lt;85,"Strong",IF(J89&lt;95,"Excellent","Exceptional")))))</f>
        <v>Solid</v>
      </c>
      <c r="L89" s="3" t="s">
        <v>46</v>
      </c>
      <c r="M89" s="6" t="n">
        <f aca="false">(Weights!$C$13*IF(Weights!$D$13=0,$E89,INDEX(Resources!$B$2:$F$10,MATCH(CHOOSE(Weights!$D$13,$B89,$C89,$D89),Resources!$A$2:$A$10,0),MATCH(Weights!$E$13,Resources!$B$1:$F$1,0)))+Weights!$F$13*IF(Weights!$G$13=0,$E89,INDEX(Resources!$B$2:$F$10,MATCH(CHOOSE(Weights!$G$13,$B89,$C89,$D89),Resources!$A$2:$A$10,0),MATCH(Weights!$H$13,Resources!$B$1:$F$1,0)))+Weights!$I$13*IF(Weights!$J$13=0,$E89,INDEX(Resources!$B$2:$F$10,MATCH(CHOOSE(Weights!$J$13,$B89,$C89,$D89),Resources!$A$2:$A$10,0),MATCH(Weights!$K$13,Resources!$B$1:$F$1,0))))/10</f>
        <v>60.6166666666667</v>
      </c>
      <c r="N89" s="3" t="str">
        <f aca="false">IF(M89&lt;40,"Poor",IF(M89&lt;55,"Basic",IF(M89&lt;70,"Solid",IF(M89&lt;85,"Strong",IF(M89&lt;95,"Excellent","Exceptional")))))</f>
        <v>Solid</v>
      </c>
      <c r="O89" s="6" t="n">
        <f aca="false">MIN(100,MAX(G89,J89,M89)*(1+0.05*3))</f>
        <v>71.185</v>
      </c>
      <c r="P89" s="3" t="str">
        <f aca="false">IF(O89&lt;40,"Poor",IF(O89&lt;55,"Basic",IF(O89&lt;70,"Solid",IF(O89&lt;85,"Strong",IF(O89&lt;95,"Excellent","Exceptional")))))</f>
        <v>Strong</v>
      </c>
    </row>
    <row r="90" customFormat="false" ht="15" hidden="false" customHeight="true" outlineLevel="0" collapsed="false">
      <c r="A90" s="3" t="s">
        <v>43</v>
      </c>
      <c r="B90" s="4" t="s">
        <v>11</v>
      </c>
      <c r="C90" s="4" t="s">
        <v>18</v>
      </c>
      <c r="D90" s="4" t="s">
        <v>9</v>
      </c>
      <c r="E90" s="3" t="n">
        <f aca="false">AVERAGE(INDEX(Resources!$B$2:$F$10,MATCH($B90,Resources!$A$2:$A$10,0),1),INDEX(Resources!$B$2:$F$10,MATCH($C90,Resources!$A$2:$A$10,0),1),INDEX(Resources!$B$2:$F$10,MATCH($D90,Resources!$A$2:$A$10,0),1))</f>
        <v>610</v>
      </c>
      <c r="F90" s="3" t="s">
        <v>44</v>
      </c>
      <c r="G90" s="6" t="n">
        <f aca="false">(Weights!$C$11*IF(Weights!$D$11=0,$E90,INDEX(Resources!$B$2:$F$10,MATCH(CHOOSE(Weights!$D$11,$B90,$C90,$D90),Resources!$A$2:$A$10,0),MATCH(Weights!$E$11,Resources!$B$1:$F$1,0)))+Weights!$F$11*IF(Weights!$G$11=0,$E90,INDEX(Resources!$B$2:$F$10,MATCH(CHOOSE(Weights!$G$11,$B90,$C90,$D90),Resources!$A$2:$A$10,0),MATCH(Weights!$H$11,Resources!$B$1:$F$1,0)))+Weights!$I$11*IF(Weights!$J$11=0,$E90,INDEX(Resources!$B$2:$F$10,MATCH(CHOOSE(Weights!$J$11,$B90,$C90,$D90),Resources!$A$2:$A$10,0),MATCH(Weights!$K$11,Resources!$B$1:$F$1,0))))/10</f>
        <v>62.75</v>
      </c>
      <c r="H90" s="3" t="str">
        <f aca="false">IF(G90&lt;40,"Poor",IF(G90&lt;55,"Basic",IF(G90&lt;70,"Solid",IF(G90&lt;85,"Strong",IF(G90&lt;95,"Excellent","Exceptional")))))</f>
        <v>Solid</v>
      </c>
      <c r="I90" s="3" t="s">
        <v>45</v>
      </c>
      <c r="J90" s="6" t="n">
        <f aca="false">(Weights!$C$12*IF(Weights!$D$12=0,$E90,INDEX(Resources!$B$2:$F$10,MATCH(CHOOSE(Weights!$D$12,$B90,$C90,$D90),Resources!$A$2:$A$10,0),MATCH(Weights!$E$12,Resources!$B$1:$F$1,0)))+Weights!$F$12*IF(Weights!$G$12=0,$E90,INDEX(Resources!$B$2:$F$10,MATCH(CHOOSE(Weights!$G$12,$B90,$C90,$D90),Resources!$A$2:$A$10,0),MATCH(Weights!$H$12,Resources!$B$1:$F$1,0)))+Weights!$I$12*IF(Weights!$J$12=0,$E90,INDEX(Resources!$B$2:$F$10,MATCH(CHOOSE(Weights!$J$12,$B90,$C90,$D90),Resources!$A$2:$A$10,0),MATCH(Weights!$K$12,Resources!$B$1:$F$1,0))))/10</f>
        <v>61.9</v>
      </c>
      <c r="K90" s="3" t="str">
        <f aca="false">IF(J90&lt;40,"Poor",IF(J90&lt;55,"Basic",IF(J90&lt;70,"Solid",IF(J90&lt;85,"Strong",IF(J90&lt;95,"Excellent","Exceptional")))))</f>
        <v>Solid</v>
      </c>
      <c r="L90" s="3" t="s">
        <v>46</v>
      </c>
      <c r="M90" s="6" t="n">
        <f aca="false">(Weights!$C$13*IF(Weights!$D$13=0,$E90,INDEX(Resources!$B$2:$F$10,MATCH(CHOOSE(Weights!$D$13,$B90,$C90,$D90),Resources!$A$2:$A$10,0),MATCH(Weights!$E$13,Resources!$B$1:$F$1,0)))+Weights!$F$13*IF(Weights!$G$13=0,$E90,INDEX(Resources!$B$2:$F$10,MATCH(CHOOSE(Weights!$G$13,$B90,$C90,$D90),Resources!$A$2:$A$10,0),MATCH(Weights!$H$13,Resources!$B$1:$F$1,0)))+Weights!$I$13*IF(Weights!$J$13=0,$E90,INDEX(Resources!$B$2:$F$10,MATCH(CHOOSE(Weights!$J$13,$B90,$C90,$D90),Resources!$A$2:$A$10,0),MATCH(Weights!$K$13,Resources!$B$1:$F$1,0))))/10</f>
        <v>61.75</v>
      </c>
      <c r="N90" s="3" t="str">
        <f aca="false">IF(M90&lt;40,"Poor",IF(M90&lt;55,"Basic",IF(M90&lt;70,"Solid",IF(M90&lt;85,"Strong",IF(M90&lt;95,"Excellent","Exceptional")))))</f>
        <v>Solid</v>
      </c>
      <c r="O90" s="6" t="n">
        <f aca="false">MIN(100,MAX(G90,J90,M90)*(1+0.05*3))</f>
        <v>72.1625</v>
      </c>
      <c r="P90" s="3" t="str">
        <f aca="false">IF(O90&lt;40,"Poor",IF(O90&lt;55,"Basic",IF(O90&lt;70,"Solid",IF(O90&lt;85,"Strong",IF(O90&lt;95,"Excellent","Exceptional")))))</f>
        <v>Strong</v>
      </c>
    </row>
    <row r="91" customFormat="false" ht="15" hidden="false" customHeight="true" outlineLevel="0" collapsed="false">
      <c r="A91" s="3" t="s">
        <v>43</v>
      </c>
      <c r="B91" s="4" t="s">
        <v>11</v>
      </c>
      <c r="C91" s="4" t="s">
        <v>18</v>
      </c>
      <c r="D91" s="4" t="s">
        <v>10</v>
      </c>
      <c r="E91" s="3" t="n">
        <f aca="false">AVERAGE(INDEX(Resources!$B$2:$F$10,MATCH($B91,Resources!$A$2:$A$10,0),1),INDEX(Resources!$B$2:$F$10,MATCH($C91,Resources!$A$2:$A$10,0),1),INDEX(Resources!$B$2:$F$10,MATCH($D91,Resources!$A$2:$A$10,0),1))</f>
        <v>583.333333333333</v>
      </c>
      <c r="F91" s="3" t="s">
        <v>44</v>
      </c>
      <c r="G91" s="6" t="n">
        <f aca="false">(Weights!$C$11*IF(Weights!$D$11=0,$E91,INDEX(Resources!$B$2:$F$10,MATCH(CHOOSE(Weights!$D$11,$B91,$C91,$D91),Resources!$A$2:$A$10,0),MATCH(Weights!$E$11,Resources!$B$1:$F$1,0)))+Weights!$F$11*IF(Weights!$G$11=0,$E91,INDEX(Resources!$B$2:$F$10,MATCH(CHOOSE(Weights!$G$11,$B91,$C91,$D91),Resources!$A$2:$A$10,0),MATCH(Weights!$H$11,Resources!$B$1:$F$1,0)))+Weights!$I$11*IF(Weights!$J$11=0,$E91,INDEX(Resources!$B$2:$F$10,MATCH(CHOOSE(Weights!$J$11,$B91,$C91,$D91),Resources!$A$2:$A$10,0),MATCH(Weights!$K$11,Resources!$B$1:$F$1,0))))/10</f>
        <v>62.35</v>
      </c>
      <c r="H91" s="3" t="str">
        <f aca="false">IF(G91&lt;40,"Poor",IF(G91&lt;55,"Basic",IF(G91&lt;70,"Solid",IF(G91&lt;85,"Strong",IF(G91&lt;95,"Excellent","Exceptional")))))</f>
        <v>Solid</v>
      </c>
      <c r="I91" s="3" t="s">
        <v>45</v>
      </c>
      <c r="J91" s="6" t="n">
        <f aca="false">(Weights!$C$12*IF(Weights!$D$12=0,$E91,INDEX(Resources!$B$2:$F$10,MATCH(CHOOSE(Weights!$D$12,$B91,$C91,$D91),Resources!$A$2:$A$10,0),MATCH(Weights!$E$12,Resources!$B$1:$F$1,0)))+Weights!$F$12*IF(Weights!$G$12=0,$E91,INDEX(Resources!$B$2:$F$10,MATCH(CHOOSE(Weights!$G$12,$B91,$C91,$D91),Resources!$A$2:$A$10,0),MATCH(Weights!$H$12,Resources!$B$1:$F$1,0)))+Weights!$I$12*IF(Weights!$J$12=0,$E91,INDEX(Resources!$B$2:$F$10,MATCH(CHOOSE(Weights!$J$12,$B91,$C91,$D91),Resources!$A$2:$A$10,0),MATCH(Weights!$K$12,Resources!$B$1:$F$1,0))))/10</f>
        <v>61.3666666666667</v>
      </c>
      <c r="K91" s="3" t="str">
        <f aca="false">IF(J91&lt;40,"Poor",IF(J91&lt;55,"Basic",IF(J91&lt;70,"Solid",IF(J91&lt;85,"Strong",IF(J91&lt;95,"Excellent","Exceptional")))))</f>
        <v>Solid</v>
      </c>
      <c r="L91" s="3" t="s">
        <v>46</v>
      </c>
      <c r="M91" s="6" t="n">
        <f aca="false">(Weights!$C$13*IF(Weights!$D$13=0,$E91,INDEX(Resources!$B$2:$F$10,MATCH(CHOOSE(Weights!$D$13,$B91,$C91,$D91),Resources!$A$2:$A$10,0),MATCH(Weights!$E$13,Resources!$B$1:$F$1,0)))+Weights!$F$13*IF(Weights!$G$13=0,$E91,INDEX(Resources!$B$2:$F$10,MATCH(CHOOSE(Weights!$G$13,$B91,$C91,$D91),Resources!$A$2:$A$10,0),MATCH(Weights!$H$13,Resources!$B$1:$F$1,0)))+Weights!$I$13*IF(Weights!$J$13=0,$E91,INDEX(Resources!$B$2:$F$10,MATCH(CHOOSE(Weights!$J$13,$B91,$C91,$D91),Resources!$A$2:$A$10,0),MATCH(Weights!$K$13,Resources!$B$1:$F$1,0))))/10</f>
        <v>61.2166666666667</v>
      </c>
      <c r="N91" s="3" t="str">
        <f aca="false">IF(M91&lt;40,"Poor",IF(M91&lt;55,"Basic",IF(M91&lt;70,"Solid",IF(M91&lt;85,"Strong",IF(M91&lt;95,"Excellent","Exceptional")))))</f>
        <v>Solid</v>
      </c>
      <c r="O91" s="6" t="n">
        <f aca="false">MIN(100,MAX(G91,J91,M91)*(1+0.05*3))</f>
        <v>71.7025</v>
      </c>
      <c r="P91" s="3" t="str">
        <f aca="false">IF(O91&lt;40,"Poor",IF(O91&lt;55,"Basic",IF(O91&lt;70,"Solid",IF(O91&lt;85,"Strong",IF(O91&lt;95,"Excellent","Exceptional")))))</f>
        <v>Strong</v>
      </c>
    </row>
    <row r="92" customFormat="false" ht="15" hidden="false" customHeight="true" outlineLevel="0" collapsed="false">
      <c r="A92" s="3" t="s">
        <v>43</v>
      </c>
      <c r="B92" s="4" t="s">
        <v>13</v>
      </c>
      <c r="C92" s="4" t="s">
        <v>15</v>
      </c>
      <c r="D92" s="4" t="s">
        <v>7</v>
      </c>
      <c r="E92" s="3" t="n">
        <f aca="false">AVERAGE(INDEX(Resources!$B$2:$F$10,MATCH($B92,Resources!$A$2:$A$10,0),1),INDEX(Resources!$B$2:$F$10,MATCH($C92,Resources!$A$2:$A$10,0),1),INDEX(Resources!$B$2:$F$10,MATCH($D92,Resources!$A$2:$A$10,0),1))</f>
        <v>673.333333333333</v>
      </c>
      <c r="F92" s="3" t="s">
        <v>44</v>
      </c>
      <c r="G92" s="6" t="n">
        <f aca="false">(Weights!$C$11*IF(Weights!$D$11=0,$E92,INDEX(Resources!$B$2:$F$10,MATCH(CHOOSE(Weights!$D$11,$B92,$C92,$D92),Resources!$A$2:$A$10,0),MATCH(Weights!$E$11,Resources!$B$1:$F$1,0)))+Weights!$F$11*IF(Weights!$G$11=0,$E92,INDEX(Resources!$B$2:$F$10,MATCH(CHOOSE(Weights!$G$11,$B92,$C92,$D92),Resources!$A$2:$A$10,0),MATCH(Weights!$H$11,Resources!$B$1:$F$1,0)))+Weights!$I$11*IF(Weights!$J$11=0,$E92,INDEX(Resources!$B$2:$F$10,MATCH(CHOOSE(Weights!$J$11,$B92,$C92,$D92),Resources!$A$2:$A$10,0),MATCH(Weights!$K$11,Resources!$B$1:$F$1,0))))/10</f>
        <v>78.9</v>
      </c>
      <c r="H92" s="3" t="str">
        <f aca="false">IF(G92&lt;40,"Poor",IF(G92&lt;55,"Basic",IF(G92&lt;70,"Solid",IF(G92&lt;85,"Strong",IF(G92&lt;95,"Excellent","Exceptional")))))</f>
        <v>Strong</v>
      </c>
      <c r="I92" s="3" t="s">
        <v>45</v>
      </c>
      <c r="J92" s="6" t="n">
        <f aca="false">(Weights!$C$12*IF(Weights!$D$12=0,$E92,INDEX(Resources!$B$2:$F$10,MATCH(CHOOSE(Weights!$D$12,$B92,$C92,$D92),Resources!$A$2:$A$10,0),MATCH(Weights!$E$12,Resources!$B$1:$F$1,0)))+Weights!$F$12*IF(Weights!$G$12=0,$E92,INDEX(Resources!$B$2:$F$10,MATCH(CHOOSE(Weights!$G$12,$B92,$C92,$D92),Resources!$A$2:$A$10,0),MATCH(Weights!$H$12,Resources!$B$1:$F$1,0)))+Weights!$I$12*IF(Weights!$J$12=0,$E92,INDEX(Resources!$B$2:$F$10,MATCH(CHOOSE(Weights!$J$12,$B92,$C92,$D92),Resources!$A$2:$A$10,0),MATCH(Weights!$K$12,Resources!$B$1:$F$1,0))))/10</f>
        <v>86.3666666666667</v>
      </c>
      <c r="K92" s="3" t="str">
        <f aca="false">IF(J92&lt;40,"Poor",IF(J92&lt;55,"Basic",IF(J92&lt;70,"Solid",IF(J92&lt;85,"Strong",IF(J92&lt;95,"Excellent","Exceptional")))))</f>
        <v>Excellent</v>
      </c>
      <c r="L92" s="3" t="s">
        <v>46</v>
      </c>
      <c r="M92" s="6" t="n">
        <f aca="false">(Weights!$C$13*IF(Weights!$D$13=0,$E92,INDEX(Resources!$B$2:$F$10,MATCH(CHOOSE(Weights!$D$13,$B92,$C92,$D92),Resources!$A$2:$A$10,0),MATCH(Weights!$E$13,Resources!$B$1:$F$1,0)))+Weights!$F$13*IF(Weights!$G$13=0,$E92,INDEX(Resources!$B$2:$F$10,MATCH(CHOOSE(Weights!$G$13,$B92,$C92,$D92),Resources!$A$2:$A$10,0),MATCH(Weights!$H$13,Resources!$B$1:$F$1,0)))+Weights!$I$13*IF(Weights!$J$13=0,$E92,INDEX(Resources!$B$2:$F$10,MATCH(CHOOSE(Weights!$J$13,$B92,$C92,$D92),Resources!$A$2:$A$10,0),MATCH(Weights!$K$13,Resources!$B$1:$F$1,0))))/10</f>
        <v>86.6166666666667</v>
      </c>
      <c r="N92" s="3" t="str">
        <f aca="false">IF(M92&lt;40,"Poor",IF(M92&lt;55,"Basic",IF(M92&lt;70,"Solid",IF(M92&lt;85,"Strong",IF(M92&lt;95,"Excellent","Exceptional")))))</f>
        <v>Excellent</v>
      </c>
      <c r="O92" s="6" t="n">
        <f aca="false">MIN(100,MAX(G92,J92,M92)*(1+0.05*3))</f>
        <v>99.6091666666667</v>
      </c>
      <c r="P92" s="3" t="str">
        <f aca="false">IF(O92&lt;40,"Poor",IF(O92&lt;55,"Basic",IF(O92&lt;70,"Solid",IF(O92&lt;85,"Strong",IF(O92&lt;95,"Excellent","Exceptional")))))</f>
        <v>Exceptional</v>
      </c>
    </row>
    <row r="93" customFormat="false" ht="15" hidden="false" customHeight="true" outlineLevel="0" collapsed="false">
      <c r="A93" s="3" t="s">
        <v>43</v>
      </c>
      <c r="B93" s="4" t="s">
        <v>13</v>
      </c>
      <c r="C93" s="4" t="s">
        <v>15</v>
      </c>
      <c r="D93" s="4" t="s">
        <v>9</v>
      </c>
      <c r="E93" s="3" t="n">
        <f aca="false">AVERAGE(INDEX(Resources!$B$2:$F$10,MATCH($B93,Resources!$A$2:$A$10,0),1),INDEX(Resources!$B$2:$F$10,MATCH($C93,Resources!$A$2:$A$10,0),1),INDEX(Resources!$B$2:$F$10,MATCH($D93,Resources!$A$2:$A$10,0),1))</f>
        <v>730</v>
      </c>
      <c r="F93" s="3" t="s">
        <v>44</v>
      </c>
      <c r="G93" s="6" t="n">
        <f aca="false">(Weights!$C$11*IF(Weights!$D$11=0,$E93,INDEX(Resources!$B$2:$F$10,MATCH(CHOOSE(Weights!$D$11,$B93,$C93,$D93),Resources!$A$2:$A$10,0),MATCH(Weights!$E$11,Resources!$B$1:$F$1,0)))+Weights!$F$11*IF(Weights!$G$11=0,$E93,INDEX(Resources!$B$2:$F$10,MATCH(CHOOSE(Weights!$G$11,$B93,$C93,$D93),Resources!$A$2:$A$10,0),MATCH(Weights!$H$11,Resources!$B$1:$F$1,0)))+Weights!$I$11*IF(Weights!$J$11=0,$E93,INDEX(Resources!$B$2:$F$10,MATCH(CHOOSE(Weights!$J$11,$B93,$C93,$D93),Resources!$A$2:$A$10,0),MATCH(Weights!$K$11,Resources!$B$1:$F$1,0))))/10</f>
        <v>79.75</v>
      </c>
      <c r="H93" s="3" t="str">
        <f aca="false">IF(G93&lt;40,"Poor",IF(G93&lt;55,"Basic",IF(G93&lt;70,"Solid",IF(G93&lt;85,"Strong",IF(G93&lt;95,"Excellent","Exceptional")))))</f>
        <v>Strong</v>
      </c>
      <c r="I93" s="3" t="s">
        <v>45</v>
      </c>
      <c r="J93" s="6" t="n">
        <f aca="false">(Weights!$C$12*IF(Weights!$D$12=0,$E93,INDEX(Resources!$B$2:$F$10,MATCH(CHOOSE(Weights!$D$12,$B93,$C93,$D93),Resources!$A$2:$A$10,0),MATCH(Weights!$E$12,Resources!$B$1:$F$1,0)))+Weights!$F$12*IF(Weights!$G$12=0,$E93,INDEX(Resources!$B$2:$F$10,MATCH(CHOOSE(Weights!$G$12,$B93,$C93,$D93),Resources!$A$2:$A$10,0),MATCH(Weights!$H$12,Resources!$B$1:$F$1,0)))+Weights!$I$12*IF(Weights!$J$12=0,$E93,INDEX(Resources!$B$2:$F$10,MATCH(CHOOSE(Weights!$J$12,$B93,$C93,$D93),Resources!$A$2:$A$10,0),MATCH(Weights!$K$12,Resources!$B$1:$F$1,0))))/10</f>
        <v>87.5</v>
      </c>
      <c r="K93" s="3" t="str">
        <f aca="false">IF(J93&lt;40,"Poor",IF(J93&lt;55,"Basic",IF(J93&lt;70,"Solid",IF(J93&lt;85,"Strong",IF(J93&lt;95,"Excellent","Exceptional")))))</f>
        <v>Excellent</v>
      </c>
      <c r="L93" s="3" t="s">
        <v>46</v>
      </c>
      <c r="M93" s="6" t="n">
        <f aca="false">(Weights!$C$13*IF(Weights!$D$13=0,$E93,INDEX(Resources!$B$2:$F$10,MATCH(CHOOSE(Weights!$D$13,$B93,$C93,$D93),Resources!$A$2:$A$10,0),MATCH(Weights!$E$13,Resources!$B$1:$F$1,0)))+Weights!$F$13*IF(Weights!$G$13=0,$E93,INDEX(Resources!$B$2:$F$10,MATCH(CHOOSE(Weights!$G$13,$B93,$C93,$D93),Resources!$A$2:$A$10,0),MATCH(Weights!$H$13,Resources!$B$1:$F$1,0)))+Weights!$I$13*IF(Weights!$J$13=0,$E93,INDEX(Resources!$B$2:$F$10,MATCH(CHOOSE(Weights!$J$13,$B93,$C93,$D93),Resources!$A$2:$A$10,0),MATCH(Weights!$K$13,Resources!$B$1:$F$1,0))))/10</f>
        <v>87.75</v>
      </c>
      <c r="N93" s="3" t="str">
        <f aca="false">IF(M93&lt;40,"Poor",IF(M93&lt;55,"Basic",IF(M93&lt;70,"Solid",IF(M93&lt;85,"Strong",IF(M93&lt;95,"Excellent","Exceptional")))))</f>
        <v>Excellent</v>
      </c>
      <c r="O93" s="6" t="n">
        <f aca="false">MIN(100,MAX(G93,J93,M93)*(1+0.05*3))</f>
        <v>100</v>
      </c>
      <c r="P93" s="3" t="str">
        <f aca="false">IF(O93&lt;40,"Poor",IF(O93&lt;55,"Basic",IF(O93&lt;70,"Solid",IF(O93&lt;85,"Strong",IF(O93&lt;95,"Excellent","Exceptional")))))</f>
        <v>Exceptional</v>
      </c>
    </row>
    <row r="94" customFormat="false" ht="15" hidden="false" customHeight="true" outlineLevel="0" collapsed="false">
      <c r="A94" s="3" t="s">
        <v>43</v>
      </c>
      <c r="B94" s="4" t="s">
        <v>13</v>
      </c>
      <c r="C94" s="4" t="s">
        <v>15</v>
      </c>
      <c r="D94" s="4" t="s">
        <v>10</v>
      </c>
      <c r="E94" s="3" t="n">
        <f aca="false">AVERAGE(INDEX(Resources!$B$2:$F$10,MATCH($B94,Resources!$A$2:$A$10,0),1),INDEX(Resources!$B$2:$F$10,MATCH($C94,Resources!$A$2:$A$10,0),1),INDEX(Resources!$B$2:$F$10,MATCH($D94,Resources!$A$2:$A$10,0),1))</f>
        <v>703.333333333333</v>
      </c>
      <c r="F94" s="3" t="s">
        <v>44</v>
      </c>
      <c r="G94" s="6" t="n">
        <f aca="false">(Weights!$C$11*IF(Weights!$D$11=0,$E94,INDEX(Resources!$B$2:$F$10,MATCH(CHOOSE(Weights!$D$11,$B94,$C94,$D94),Resources!$A$2:$A$10,0),MATCH(Weights!$E$11,Resources!$B$1:$F$1,0)))+Weights!$F$11*IF(Weights!$G$11=0,$E94,INDEX(Resources!$B$2:$F$10,MATCH(CHOOSE(Weights!$G$11,$B94,$C94,$D94),Resources!$A$2:$A$10,0),MATCH(Weights!$H$11,Resources!$B$1:$F$1,0)))+Weights!$I$11*IF(Weights!$J$11=0,$E94,INDEX(Resources!$B$2:$F$10,MATCH(CHOOSE(Weights!$J$11,$B94,$C94,$D94),Resources!$A$2:$A$10,0),MATCH(Weights!$K$11,Resources!$B$1:$F$1,0))))/10</f>
        <v>79.35</v>
      </c>
      <c r="H94" s="3" t="str">
        <f aca="false">IF(G94&lt;40,"Poor",IF(G94&lt;55,"Basic",IF(G94&lt;70,"Solid",IF(G94&lt;85,"Strong",IF(G94&lt;95,"Excellent","Exceptional")))))</f>
        <v>Strong</v>
      </c>
      <c r="I94" s="3" t="s">
        <v>45</v>
      </c>
      <c r="J94" s="6" t="n">
        <f aca="false">(Weights!$C$12*IF(Weights!$D$12=0,$E94,INDEX(Resources!$B$2:$F$10,MATCH(CHOOSE(Weights!$D$12,$B94,$C94,$D94),Resources!$A$2:$A$10,0),MATCH(Weights!$E$12,Resources!$B$1:$F$1,0)))+Weights!$F$12*IF(Weights!$G$12=0,$E94,INDEX(Resources!$B$2:$F$10,MATCH(CHOOSE(Weights!$G$12,$B94,$C94,$D94),Resources!$A$2:$A$10,0),MATCH(Weights!$H$12,Resources!$B$1:$F$1,0)))+Weights!$I$12*IF(Weights!$J$12=0,$E94,INDEX(Resources!$B$2:$F$10,MATCH(CHOOSE(Weights!$J$12,$B94,$C94,$D94),Resources!$A$2:$A$10,0),MATCH(Weights!$K$12,Resources!$B$1:$F$1,0))))/10</f>
        <v>86.9666666666667</v>
      </c>
      <c r="K94" s="3" t="str">
        <f aca="false">IF(J94&lt;40,"Poor",IF(J94&lt;55,"Basic",IF(J94&lt;70,"Solid",IF(J94&lt;85,"Strong",IF(J94&lt;95,"Excellent","Exceptional")))))</f>
        <v>Excellent</v>
      </c>
      <c r="L94" s="3" t="s">
        <v>46</v>
      </c>
      <c r="M94" s="6" t="n">
        <f aca="false">(Weights!$C$13*IF(Weights!$D$13=0,$E94,INDEX(Resources!$B$2:$F$10,MATCH(CHOOSE(Weights!$D$13,$B94,$C94,$D94),Resources!$A$2:$A$10,0),MATCH(Weights!$E$13,Resources!$B$1:$F$1,0)))+Weights!$F$13*IF(Weights!$G$13=0,$E94,INDEX(Resources!$B$2:$F$10,MATCH(CHOOSE(Weights!$G$13,$B94,$C94,$D94),Resources!$A$2:$A$10,0),MATCH(Weights!$H$13,Resources!$B$1:$F$1,0)))+Weights!$I$13*IF(Weights!$J$13=0,$E94,INDEX(Resources!$B$2:$F$10,MATCH(CHOOSE(Weights!$J$13,$B94,$C94,$D94),Resources!$A$2:$A$10,0),MATCH(Weights!$K$13,Resources!$B$1:$F$1,0))))/10</f>
        <v>87.2166666666667</v>
      </c>
      <c r="N94" s="3" t="str">
        <f aca="false">IF(M94&lt;40,"Poor",IF(M94&lt;55,"Basic",IF(M94&lt;70,"Solid",IF(M94&lt;85,"Strong",IF(M94&lt;95,"Excellent","Exceptional")))))</f>
        <v>Excellent</v>
      </c>
      <c r="O94" s="6" t="n">
        <f aca="false">MIN(100,MAX(G94,J94,M94)*(1+0.05*3))</f>
        <v>100</v>
      </c>
      <c r="P94" s="3" t="str">
        <f aca="false">IF(O94&lt;40,"Poor",IF(O94&lt;55,"Basic",IF(O94&lt;70,"Solid",IF(O94&lt;85,"Strong",IF(O94&lt;95,"Excellent","Exceptional")))))</f>
        <v>Exceptional</v>
      </c>
    </row>
    <row r="95" customFormat="false" ht="15" hidden="false" customHeight="true" outlineLevel="0" collapsed="false">
      <c r="A95" s="3" t="s">
        <v>43</v>
      </c>
      <c r="B95" s="4" t="s">
        <v>13</v>
      </c>
      <c r="C95" s="4" t="s">
        <v>17</v>
      </c>
      <c r="D95" s="4" t="s">
        <v>7</v>
      </c>
      <c r="E95" s="3" t="n">
        <f aca="false">AVERAGE(INDEX(Resources!$B$2:$F$10,MATCH($B95,Resources!$A$2:$A$10,0),1),INDEX(Resources!$B$2:$F$10,MATCH($C95,Resources!$A$2:$A$10,0),1),INDEX(Resources!$B$2:$F$10,MATCH($D95,Resources!$A$2:$A$10,0),1))</f>
        <v>643.333333333333</v>
      </c>
      <c r="F95" s="3" t="s">
        <v>44</v>
      </c>
      <c r="G95" s="6" t="n">
        <f aca="false">(Weights!$C$11*IF(Weights!$D$11=0,$E95,INDEX(Resources!$B$2:$F$10,MATCH(CHOOSE(Weights!$D$11,$B95,$C95,$D95),Resources!$A$2:$A$10,0),MATCH(Weights!$E$11,Resources!$B$1:$F$1,0)))+Weights!$F$11*IF(Weights!$G$11=0,$E95,INDEX(Resources!$B$2:$F$10,MATCH(CHOOSE(Weights!$G$11,$B95,$C95,$D95),Resources!$A$2:$A$10,0),MATCH(Weights!$H$11,Resources!$B$1:$F$1,0)))+Weights!$I$11*IF(Weights!$J$11=0,$E95,INDEX(Resources!$B$2:$F$10,MATCH(CHOOSE(Weights!$J$11,$B95,$C95,$D95),Resources!$A$2:$A$10,0),MATCH(Weights!$K$11,Resources!$B$1:$F$1,0))))/10</f>
        <v>88.2</v>
      </c>
      <c r="H95" s="3" t="str">
        <f aca="false">IF(G95&lt;40,"Poor",IF(G95&lt;55,"Basic",IF(G95&lt;70,"Solid",IF(G95&lt;85,"Strong",IF(G95&lt;95,"Excellent","Exceptional")))))</f>
        <v>Excellent</v>
      </c>
      <c r="I95" s="3" t="s">
        <v>45</v>
      </c>
      <c r="J95" s="6" t="n">
        <f aca="false">(Weights!$C$12*IF(Weights!$D$12=0,$E95,INDEX(Resources!$B$2:$F$10,MATCH(CHOOSE(Weights!$D$12,$B95,$C95,$D95),Resources!$A$2:$A$10,0),MATCH(Weights!$E$12,Resources!$B$1:$F$1,0)))+Weights!$F$12*IF(Weights!$G$12=0,$E95,INDEX(Resources!$B$2:$F$10,MATCH(CHOOSE(Weights!$G$12,$B95,$C95,$D95),Resources!$A$2:$A$10,0),MATCH(Weights!$H$12,Resources!$B$1:$F$1,0)))+Weights!$I$12*IF(Weights!$J$12=0,$E95,INDEX(Resources!$B$2:$F$10,MATCH(CHOOSE(Weights!$J$12,$B95,$C95,$D95),Resources!$A$2:$A$10,0),MATCH(Weights!$K$12,Resources!$B$1:$F$1,0))))/10</f>
        <v>65.6666666666667</v>
      </c>
      <c r="K95" s="3" t="str">
        <f aca="false">IF(J95&lt;40,"Poor",IF(J95&lt;55,"Basic",IF(J95&lt;70,"Solid",IF(J95&lt;85,"Strong",IF(J95&lt;95,"Excellent","Exceptional")))))</f>
        <v>Solid</v>
      </c>
      <c r="L95" s="3" t="s">
        <v>46</v>
      </c>
      <c r="M95" s="6" t="n">
        <f aca="false">(Weights!$C$13*IF(Weights!$D$13=0,$E95,INDEX(Resources!$B$2:$F$10,MATCH(CHOOSE(Weights!$D$13,$B95,$C95,$D95),Resources!$A$2:$A$10,0),MATCH(Weights!$E$13,Resources!$B$1:$F$1,0)))+Weights!$F$13*IF(Weights!$G$13=0,$E95,INDEX(Resources!$B$2:$F$10,MATCH(CHOOSE(Weights!$G$13,$B95,$C95,$D95),Resources!$A$2:$A$10,0),MATCH(Weights!$H$13,Resources!$B$1:$F$1,0)))+Weights!$I$13*IF(Weights!$J$13=0,$E95,INDEX(Resources!$B$2:$F$10,MATCH(CHOOSE(Weights!$J$13,$B95,$C95,$D95),Resources!$A$2:$A$10,0),MATCH(Weights!$K$13,Resources!$B$1:$F$1,0))))/10</f>
        <v>69.2666666666667</v>
      </c>
      <c r="N95" s="3" t="str">
        <f aca="false">IF(M95&lt;40,"Poor",IF(M95&lt;55,"Basic",IF(M95&lt;70,"Solid",IF(M95&lt;85,"Strong",IF(M95&lt;95,"Excellent","Exceptional")))))</f>
        <v>Solid</v>
      </c>
      <c r="O95" s="6" t="n">
        <f aca="false">MIN(100,MAX(G95,J95,M95)*(1+0.05*3))</f>
        <v>100</v>
      </c>
      <c r="P95" s="3" t="str">
        <f aca="false">IF(O95&lt;40,"Poor",IF(O95&lt;55,"Basic",IF(O95&lt;70,"Solid",IF(O95&lt;85,"Strong",IF(O95&lt;95,"Excellent","Exceptional")))))</f>
        <v>Exceptional</v>
      </c>
    </row>
    <row r="96" customFormat="false" ht="15" hidden="false" customHeight="true" outlineLevel="0" collapsed="false">
      <c r="A96" s="3" t="s">
        <v>43</v>
      </c>
      <c r="B96" s="4" t="s">
        <v>13</v>
      </c>
      <c r="C96" s="4" t="s">
        <v>17</v>
      </c>
      <c r="D96" s="4" t="s">
        <v>9</v>
      </c>
      <c r="E96" s="3" t="n">
        <f aca="false">AVERAGE(INDEX(Resources!$B$2:$F$10,MATCH($B96,Resources!$A$2:$A$10,0),1),INDEX(Resources!$B$2:$F$10,MATCH($C96,Resources!$A$2:$A$10,0),1),INDEX(Resources!$B$2:$F$10,MATCH($D96,Resources!$A$2:$A$10,0),1))</f>
        <v>700</v>
      </c>
      <c r="F96" s="3" t="s">
        <v>44</v>
      </c>
      <c r="G96" s="6" t="n">
        <f aca="false">(Weights!$C$11*IF(Weights!$D$11=0,$E96,INDEX(Resources!$B$2:$F$10,MATCH(CHOOSE(Weights!$D$11,$B96,$C96,$D96),Resources!$A$2:$A$10,0),MATCH(Weights!$E$11,Resources!$B$1:$F$1,0)))+Weights!$F$11*IF(Weights!$G$11=0,$E96,INDEX(Resources!$B$2:$F$10,MATCH(CHOOSE(Weights!$G$11,$B96,$C96,$D96),Resources!$A$2:$A$10,0),MATCH(Weights!$H$11,Resources!$B$1:$F$1,0)))+Weights!$I$11*IF(Weights!$J$11=0,$E96,INDEX(Resources!$B$2:$F$10,MATCH(CHOOSE(Weights!$J$11,$B96,$C96,$D96),Resources!$A$2:$A$10,0),MATCH(Weights!$K$11,Resources!$B$1:$F$1,0))))/10</f>
        <v>89.05</v>
      </c>
      <c r="H96" s="3" t="str">
        <f aca="false">IF(G96&lt;40,"Poor",IF(G96&lt;55,"Basic",IF(G96&lt;70,"Solid",IF(G96&lt;85,"Strong",IF(G96&lt;95,"Excellent","Exceptional")))))</f>
        <v>Excellent</v>
      </c>
      <c r="I96" s="3" t="s">
        <v>45</v>
      </c>
      <c r="J96" s="6" t="n">
        <f aca="false">(Weights!$C$12*IF(Weights!$D$12=0,$E96,INDEX(Resources!$B$2:$F$10,MATCH(CHOOSE(Weights!$D$12,$B96,$C96,$D96),Resources!$A$2:$A$10,0),MATCH(Weights!$E$12,Resources!$B$1:$F$1,0)))+Weights!$F$12*IF(Weights!$G$12=0,$E96,INDEX(Resources!$B$2:$F$10,MATCH(CHOOSE(Weights!$G$12,$B96,$C96,$D96),Resources!$A$2:$A$10,0),MATCH(Weights!$H$12,Resources!$B$1:$F$1,0)))+Weights!$I$12*IF(Weights!$J$12=0,$E96,INDEX(Resources!$B$2:$F$10,MATCH(CHOOSE(Weights!$J$12,$B96,$C96,$D96),Resources!$A$2:$A$10,0),MATCH(Weights!$K$12,Resources!$B$1:$F$1,0))))/10</f>
        <v>66.8</v>
      </c>
      <c r="K96" s="3" t="str">
        <f aca="false">IF(J96&lt;40,"Poor",IF(J96&lt;55,"Basic",IF(J96&lt;70,"Solid",IF(J96&lt;85,"Strong",IF(J96&lt;95,"Excellent","Exceptional")))))</f>
        <v>Solid</v>
      </c>
      <c r="L96" s="3" t="s">
        <v>46</v>
      </c>
      <c r="M96" s="6" t="n">
        <f aca="false">(Weights!$C$13*IF(Weights!$D$13=0,$E96,INDEX(Resources!$B$2:$F$10,MATCH(CHOOSE(Weights!$D$13,$B96,$C96,$D96),Resources!$A$2:$A$10,0),MATCH(Weights!$E$13,Resources!$B$1:$F$1,0)))+Weights!$F$13*IF(Weights!$G$13=0,$E96,INDEX(Resources!$B$2:$F$10,MATCH(CHOOSE(Weights!$G$13,$B96,$C96,$D96),Resources!$A$2:$A$10,0),MATCH(Weights!$H$13,Resources!$B$1:$F$1,0)))+Weights!$I$13*IF(Weights!$J$13=0,$E96,INDEX(Resources!$B$2:$F$10,MATCH(CHOOSE(Weights!$J$13,$B96,$C96,$D96),Resources!$A$2:$A$10,0),MATCH(Weights!$K$13,Resources!$B$1:$F$1,0))))/10</f>
        <v>70.4</v>
      </c>
      <c r="N96" s="3" t="str">
        <f aca="false">IF(M96&lt;40,"Poor",IF(M96&lt;55,"Basic",IF(M96&lt;70,"Solid",IF(M96&lt;85,"Strong",IF(M96&lt;95,"Excellent","Exceptional")))))</f>
        <v>Strong</v>
      </c>
      <c r="O96" s="6" t="n">
        <f aca="false">MIN(100,MAX(G96,J96,M96)*(1+0.05*3))</f>
        <v>100</v>
      </c>
      <c r="P96" s="3" t="str">
        <f aca="false">IF(O96&lt;40,"Poor",IF(O96&lt;55,"Basic",IF(O96&lt;70,"Solid",IF(O96&lt;85,"Strong",IF(O96&lt;95,"Excellent","Exceptional")))))</f>
        <v>Exceptional</v>
      </c>
    </row>
    <row r="97" customFormat="false" ht="15" hidden="false" customHeight="true" outlineLevel="0" collapsed="false">
      <c r="A97" s="3" t="s">
        <v>43</v>
      </c>
      <c r="B97" s="4" t="s">
        <v>13</v>
      </c>
      <c r="C97" s="4" t="s">
        <v>17</v>
      </c>
      <c r="D97" s="4" t="s">
        <v>10</v>
      </c>
      <c r="E97" s="3" t="n">
        <f aca="false">AVERAGE(INDEX(Resources!$B$2:$F$10,MATCH($B97,Resources!$A$2:$A$10,0),1),INDEX(Resources!$B$2:$F$10,MATCH($C97,Resources!$A$2:$A$10,0),1),INDEX(Resources!$B$2:$F$10,MATCH($D97,Resources!$A$2:$A$10,0),1))</f>
        <v>673.333333333333</v>
      </c>
      <c r="F97" s="3" t="s">
        <v>44</v>
      </c>
      <c r="G97" s="6" t="n">
        <f aca="false">(Weights!$C$11*IF(Weights!$D$11=0,$E97,INDEX(Resources!$B$2:$F$10,MATCH(CHOOSE(Weights!$D$11,$B97,$C97,$D97),Resources!$A$2:$A$10,0),MATCH(Weights!$E$11,Resources!$B$1:$F$1,0)))+Weights!$F$11*IF(Weights!$G$11=0,$E97,INDEX(Resources!$B$2:$F$10,MATCH(CHOOSE(Weights!$G$11,$B97,$C97,$D97),Resources!$A$2:$A$10,0),MATCH(Weights!$H$11,Resources!$B$1:$F$1,0)))+Weights!$I$11*IF(Weights!$J$11=0,$E97,INDEX(Resources!$B$2:$F$10,MATCH(CHOOSE(Weights!$J$11,$B97,$C97,$D97),Resources!$A$2:$A$10,0),MATCH(Weights!$K$11,Resources!$B$1:$F$1,0))))/10</f>
        <v>88.65</v>
      </c>
      <c r="H97" s="3" t="str">
        <f aca="false">IF(G97&lt;40,"Poor",IF(G97&lt;55,"Basic",IF(G97&lt;70,"Solid",IF(G97&lt;85,"Strong",IF(G97&lt;95,"Excellent","Exceptional")))))</f>
        <v>Excellent</v>
      </c>
      <c r="I97" s="3" t="s">
        <v>45</v>
      </c>
      <c r="J97" s="6" t="n">
        <f aca="false">(Weights!$C$12*IF(Weights!$D$12=0,$E97,INDEX(Resources!$B$2:$F$10,MATCH(CHOOSE(Weights!$D$12,$B97,$C97,$D97),Resources!$A$2:$A$10,0),MATCH(Weights!$E$12,Resources!$B$1:$F$1,0)))+Weights!$F$12*IF(Weights!$G$12=0,$E97,INDEX(Resources!$B$2:$F$10,MATCH(CHOOSE(Weights!$G$12,$B97,$C97,$D97),Resources!$A$2:$A$10,0),MATCH(Weights!$H$12,Resources!$B$1:$F$1,0)))+Weights!$I$12*IF(Weights!$J$12=0,$E97,INDEX(Resources!$B$2:$F$10,MATCH(CHOOSE(Weights!$J$12,$B97,$C97,$D97),Resources!$A$2:$A$10,0),MATCH(Weights!$K$12,Resources!$B$1:$F$1,0))))/10</f>
        <v>66.2666666666667</v>
      </c>
      <c r="K97" s="3" t="str">
        <f aca="false">IF(J97&lt;40,"Poor",IF(J97&lt;55,"Basic",IF(J97&lt;70,"Solid",IF(J97&lt;85,"Strong",IF(J97&lt;95,"Excellent","Exceptional")))))</f>
        <v>Solid</v>
      </c>
      <c r="L97" s="3" t="s">
        <v>46</v>
      </c>
      <c r="M97" s="6" t="n">
        <f aca="false">(Weights!$C$13*IF(Weights!$D$13=0,$E97,INDEX(Resources!$B$2:$F$10,MATCH(CHOOSE(Weights!$D$13,$B97,$C97,$D97),Resources!$A$2:$A$10,0),MATCH(Weights!$E$13,Resources!$B$1:$F$1,0)))+Weights!$F$13*IF(Weights!$G$13=0,$E97,INDEX(Resources!$B$2:$F$10,MATCH(CHOOSE(Weights!$G$13,$B97,$C97,$D97),Resources!$A$2:$A$10,0),MATCH(Weights!$H$13,Resources!$B$1:$F$1,0)))+Weights!$I$13*IF(Weights!$J$13=0,$E97,INDEX(Resources!$B$2:$F$10,MATCH(CHOOSE(Weights!$J$13,$B97,$C97,$D97),Resources!$A$2:$A$10,0),MATCH(Weights!$K$13,Resources!$B$1:$F$1,0))))/10</f>
        <v>69.8666666666667</v>
      </c>
      <c r="N97" s="3" t="str">
        <f aca="false">IF(M97&lt;40,"Poor",IF(M97&lt;55,"Basic",IF(M97&lt;70,"Solid",IF(M97&lt;85,"Strong",IF(M97&lt;95,"Excellent","Exceptional")))))</f>
        <v>Solid</v>
      </c>
      <c r="O97" s="6" t="n">
        <f aca="false">MIN(100,MAX(G97,J97,M97)*(1+0.05*3))</f>
        <v>100</v>
      </c>
      <c r="P97" s="3" t="str">
        <f aca="false">IF(O97&lt;40,"Poor",IF(O97&lt;55,"Basic",IF(O97&lt;70,"Solid",IF(O97&lt;85,"Strong",IF(O97&lt;95,"Excellent","Exceptional")))))</f>
        <v>Exceptional</v>
      </c>
    </row>
    <row r="98" customFormat="false" ht="15" hidden="false" customHeight="true" outlineLevel="0" collapsed="false">
      <c r="A98" s="3" t="s">
        <v>43</v>
      </c>
      <c r="B98" s="4" t="s">
        <v>13</v>
      </c>
      <c r="C98" s="4" t="s">
        <v>18</v>
      </c>
      <c r="D98" s="4" t="s">
        <v>7</v>
      </c>
      <c r="E98" s="3" t="n">
        <f aca="false">AVERAGE(INDEX(Resources!$B$2:$F$10,MATCH($B98,Resources!$A$2:$A$10,0),1),INDEX(Resources!$B$2:$F$10,MATCH($C98,Resources!$A$2:$A$10,0),1),INDEX(Resources!$B$2:$F$10,MATCH($D98,Resources!$A$2:$A$10,0),1))</f>
        <v>713.333333333333</v>
      </c>
      <c r="F98" s="3" t="s">
        <v>44</v>
      </c>
      <c r="G98" s="6" t="n">
        <f aca="false">(Weights!$C$11*IF(Weights!$D$11=0,$E98,INDEX(Resources!$B$2:$F$10,MATCH(CHOOSE(Weights!$D$11,$B98,$C98,$D98),Resources!$A$2:$A$10,0),MATCH(Weights!$E$11,Resources!$B$1:$F$1,0)))+Weights!$F$11*IF(Weights!$G$11=0,$E98,INDEX(Resources!$B$2:$F$10,MATCH(CHOOSE(Weights!$G$11,$B98,$C98,$D98),Resources!$A$2:$A$10,0),MATCH(Weights!$H$11,Resources!$B$1:$F$1,0)))+Weights!$I$11*IF(Weights!$J$11=0,$E98,INDEX(Resources!$B$2:$F$10,MATCH(CHOOSE(Weights!$J$11,$B98,$C98,$D98),Resources!$A$2:$A$10,0),MATCH(Weights!$K$11,Resources!$B$1:$F$1,0))))/10</f>
        <v>83.5</v>
      </c>
      <c r="H98" s="3" t="str">
        <f aca="false">IF(G98&lt;40,"Poor",IF(G98&lt;55,"Basic",IF(G98&lt;70,"Solid",IF(G98&lt;85,"Strong",IF(G98&lt;95,"Excellent","Exceptional")))))</f>
        <v>Strong</v>
      </c>
      <c r="I98" s="3" t="s">
        <v>45</v>
      </c>
      <c r="J98" s="6" t="n">
        <f aca="false">(Weights!$C$12*IF(Weights!$D$12=0,$E98,INDEX(Resources!$B$2:$F$10,MATCH(CHOOSE(Weights!$D$12,$B98,$C98,$D98),Resources!$A$2:$A$10,0),MATCH(Weights!$E$12,Resources!$B$1:$F$1,0)))+Weights!$F$12*IF(Weights!$G$12=0,$E98,INDEX(Resources!$B$2:$F$10,MATCH(CHOOSE(Weights!$G$12,$B98,$C98,$D98),Resources!$A$2:$A$10,0),MATCH(Weights!$H$12,Resources!$B$1:$F$1,0)))+Weights!$I$12*IF(Weights!$J$12=0,$E98,INDEX(Resources!$B$2:$F$10,MATCH(CHOOSE(Weights!$J$12,$B98,$C98,$D98),Resources!$A$2:$A$10,0),MATCH(Weights!$K$12,Resources!$B$1:$F$1,0))))/10</f>
        <v>79.9666666666667</v>
      </c>
      <c r="K98" s="3" t="str">
        <f aca="false">IF(J98&lt;40,"Poor",IF(J98&lt;55,"Basic",IF(J98&lt;70,"Solid",IF(J98&lt;85,"Strong",IF(J98&lt;95,"Excellent","Exceptional")))))</f>
        <v>Strong</v>
      </c>
      <c r="L98" s="3" t="s">
        <v>46</v>
      </c>
      <c r="M98" s="6" t="n">
        <f aca="false">(Weights!$C$13*IF(Weights!$D$13=0,$E98,INDEX(Resources!$B$2:$F$10,MATCH(CHOOSE(Weights!$D$13,$B98,$C98,$D98),Resources!$A$2:$A$10,0),MATCH(Weights!$E$13,Resources!$B$1:$F$1,0)))+Weights!$F$13*IF(Weights!$G$13=0,$E98,INDEX(Resources!$B$2:$F$10,MATCH(CHOOSE(Weights!$G$13,$B98,$C98,$D98),Resources!$A$2:$A$10,0),MATCH(Weights!$H$13,Resources!$B$1:$F$1,0)))+Weights!$I$13*IF(Weights!$J$13=0,$E98,INDEX(Resources!$B$2:$F$10,MATCH(CHOOSE(Weights!$J$13,$B98,$C98,$D98),Resources!$A$2:$A$10,0),MATCH(Weights!$K$13,Resources!$B$1:$F$1,0))))/10</f>
        <v>81.4166666666667</v>
      </c>
      <c r="N98" s="3" t="str">
        <f aca="false">IF(M98&lt;40,"Poor",IF(M98&lt;55,"Basic",IF(M98&lt;70,"Solid",IF(M98&lt;85,"Strong",IF(M98&lt;95,"Excellent","Exceptional")))))</f>
        <v>Strong</v>
      </c>
      <c r="O98" s="6" t="n">
        <f aca="false">MIN(100,MAX(G98,J98,M98)*(1+0.05*3))</f>
        <v>96.025</v>
      </c>
      <c r="P98" s="3" t="str">
        <f aca="false">IF(O98&lt;40,"Poor",IF(O98&lt;55,"Basic",IF(O98&lt;70,"Solid",IF(O98&lt;85,"Strong",IF(O98&lt;95,"Excellent","Exceptional")))))</f>
        <v>Exceptional</v>
      </c>
    </row>
    <row r="99" customFormat="false" ht="15" hidden="false" customHeight="true" outlineLevel="0" collapsed="false">
      <c r="A99" s="3" t="s">
        <v>43</v>
      </c>
      <c r="B99" s="4" t="s">
        <v>13</v>
      </c>
      <c r="C99" s="4" t="s">
        <v>18</v>
      </c>
      <c r="D99" s="4" t="s">
        <v>9</v>
      </c>
      <c r="E99" s="3" t="n">
        <f aca="false">AVERAGE(INDEX(Resources!$B$2:$F$10,MATCH($B99,Resources!$A$2:$A$10,0),1),INDEX(Resources!$B$2:$F$10,MATCH($C99,Resources!$A$2:$A$10,0),1),INDEX(Resources!$B$2:$F$10,MATCH($D99,Resources!$A$2:$A$10,0),1))</f>
        <v>770</v>
      </c>
      <c r="F99" s="3" t="s">
        <v>44</v>
      </c>
      <c r="G99" s="6" t="n">
        <f aca="false">(Weights!$C$11*IF(Weights!$D$11=0,$E99,INDEX(Resources!$B$2:$F$10,MATCH(CHOOSE(Weights!$D$11,$B99,$C99,$D99),Resources!$A$2:$A$10,0),MATCH(Weights!$E$11,Resources!$B$1:$F$1,0)))+Weights!$F$11*IF(Weights!$G$11=0,$E99,INDEX(Resources!$B$2:$F$10,MATCH(CHOOSE(Weights!$G$11,$B99,$C99,$D99),Resources!$A$2:$A$10,0),MATCH(Weights!$H$11,Resources!$B$1:$F$1,0)))+Weights!$I$11*IF(Weights!$J$11=0,$E99,INDEX(Resources!$B$2:$F$10,MATCH(CHOOSE(Weights!$J$11,$B99,$C99,$D99),Resources!$A$2:$A$10,0),MATCH(Weights!$K$11,Resources!$B$1:$F$1,0))))/10</f>
        <v>84.35</v>
      </c>
      <c r="H99" s="3" t="str">
        <f aca="false">IF(G99&lt;40,"Poor",IF(G99&lt;55,"Basic",IF(G99&lt;70,"Solid",IF(G99&lt;85,"Strong",IF(G99&lt;95,"Excellent","Exceptional")))))</f>
        <v>Strong</v>
      </c>
      <c r="I99" s="3" t="s">
        <v>45</v>
      </c>
      <c r="J99" s="6" t="n">
        <f aca="false">(Weights!$C$12*IF(Weights!$D$12=0,$E99,INDEX(Resources!$B$2:$F$10,MATCH(CHOOSE(Weights!$D$12,$B99,$C99,$D99),Resources!$A$2:$A$10,0),MATCH(Weights!$E$12,Resources!$B$1:$F$1,0)))+Weights!$F$12*IF(Weights!$G$12=0,$E99,INDEX(Resources!$B$2:$F$10,MATCH(CHOOSE(Weights!$G$12,$B99,$C99,$D99),Resources!$A$2:$A$10,0),MATCH(Weights!$H$12,Resources!$B$1:$F$1,0)))+Weights!$I$12*IF(Weights!$J$12=0,$E99,INDEX(Resources!$B$2:$F$10,MATCH(CHOOSE(Weights!$J$12,$B99,$C99,$D99),Resources!$A$2:$A$10,0),MATCH(Weights!$K$12,Resources!$B$1:$F$1,0))))/10</f>
        <v>81.1</v>
      </c>
      <c r="K99" s="3" t="str">
        <f aca="false">IF(J99&lt;40,"Poor",IF(J99&lt;55,"Basic",IF(J99&lt;70,"Solid",IF(J99&lt;85,"Strong",IF(J99&lt;95,"Excellent","Exceptional")))))</f>
        <v>Strong</v>
      </c>
      <c r="L99" s="3" t="s">
        <v>46</v>
      </c>
      <c r="M99" s="6" t="n">
        <f aca="false">(Weights!$C$13*IF(Weights!$D$13=0,$E99,INDEX(Resources!$B$2:$F$10,MATCH(CHOOSE(Weights!$D$13,$B99,$C99,$D99),Resources!$A$2:$A$10,0),MATCH(Weights!$E$13,Resources!$B$1:$F$1,0)))+Weights!$F$13*IF(Weights!$G$13=0,$E99,INDEX(Resources!$B$2:$F$10,MATCH(CHOOSE(Weights!$G$13,$B99,$C99,$D99),Resources!$A$2:$A$10,0),MATCH(Weights!$H$13,Resources!$B$1:$F$1,0)))+Weights!$I$13*IF(Weights!$J$13=0,$E99,INDEX(Resources!$B$2:$F$10,MATCH(CHOOSE(Weights!$J$13,$B99,$C99,$D99),Resources!$A$2:$A$10,0),MATCH(Weights!$K$13,Resources!$B$1:$F$1,0))))/10</f>
        <v>82.55</v>
      </c>
      <c r="N99" s="3" t="str">
        <f aca="false">IF(M99&lt;40,"Poor",IF(M99&lt;55,"Basic",IF(M99&lt;70,"Solid",IF(M99&lt;85,"Strong",IF(M99&lt;95,"Excellent","Exceptional")))))</f>
        <v>Strong</v>
      </c>
      <c r="O99" s="6" t="n">
        <f aca="false">MIN(100,MAX(G99,J99,M99)*(1+0.05*3))</f>
        <v>97.0025</v>
      </c>
      <c r="P99" s="3" t="str">
        <f aca="false">IF(O99&lt;40,"Poor",IF(O99&lt;55,"Basic",IF(O99&lt;70,"Solid",IF(O99&lt;85,"Strong",IF(O99&lt;95,"Excellent","Exceptional")))))</f>
        <v>Exceptional</v>
      </c>
    </row>
    <row r="100" customFormat="false" ht="15" hidden="false" customHeight="true" outlineLevel="0" collapsed="false">
      <c r="A100" s="3" t="s">
        <v>43</v>
      </c>
      <c r="B100" s="4" t="s">
        <v>13</v>
      </c>
      <c r="C100" s="4" t="s">
        <v>18</v>
      </c>
      <c r="D100" s="4" t="s">
        <v>10</v>
      </c>
      <c r="E100" s="3" t="n">
        <f aca="false">AVERAGE(INDEX(Resources!$B$2:$F$10,MATCH($B100,Resources!$A$2:$A$10,0),1),INDEX(Resources!$B$2:$F$10,MATCH($C100,Resources!$A$2:$A$10,0),1),INDEX(Resources!$B$2:$F$10,MATCH($D100,Resources!$A$2:$A$10,0),1))</f>
        <v>743.333333333333</v>
      </c>
      <c r="F100" s="3" t="s">
        <v>44</v>
      </c>
      <c r="G100" s="6" t="n">
        <f aca="false">(Weights!$C$11*IF(Weights!$D$11=0,$E100,INDEX(Resources!$B$2:$F$10,MATCH(CHOOSE(Weights!$D$11,$B100,$C100,$D100),Resources!$A$2:$A$10,0),MATCH(Weights!$E$11,Resources!$B$1:$F$1,0)))+Weights!$F$11*IF(Weights!$G$11=0,$E100,INDEX(Resources!$B$2:$F$10,MATCH(CHOOSE(Weights!$G$11,$B100,$C100,$D100),Resources!$A$2:$A$10,0),MATCH(Weights!$H$11,Resources!$B$1:$F$1,0)))+Weights!$I$11*IF(Weights!$J$11=0,$E100,INDEX(Resources!$B$2:$F$10,MATCH(CHOOSE(Weights!$J$11,$B100,$C100,$D100),Resources!$A$2:$A$10,0),MATCH(Weights!$K$11,Resources!$B$1:$F$1,0))))/10</f>
        <v>83.95</v>
      </c>
      <c r="H100" s="3" t="str">
        <f aca="false">IF(G100&lt;40,"Poor",IF(G100&lt;55,"Basic",IF(G100&lt;70,"Solid",IF(G100&lt;85,"Strong",IF(G100&lt;95,"Excellent","Exceptional")))))</f>
        <v>Strong</v>
      </c>
      <c r="I100" s="3" t="s">
        <v>45</v>
      </c>
      <c r="J100" s="6" t="n">
        <f aca="false">(Weights!$C$12*IF(Weights!$D$12=0,$E100,INDEX(Resources!$B$2:$F$10,MATCH(CHOOSE(Weights!$D$12,$B100,$C100,$D100),Resources!$A$2:$A$10,0),MATCH(Weights!$E$12,Resources!$B$1:$F$1,0)))+Weights!$F$12*IF(Weights!$G$12=0,$E100,INDEX(Resources!$B$2:$F$10,MATCH(CHOOSE(Weights!$G$12,$B100,$C100,$D100),Resources!$A$2:$A$10,0),MATCH(Weights!$H$12,Resources!$B$1:$F$1,0)))+Weights!$I$12*IF(Weights!$J$12=0,$E100,INDEX(Resources!$B$2:$F$10,MATCH(CHOOSE(Weights!$J$12,$B100,$C100,$D100),Resources!$A$2:$A$10,0),MATCH(Weights!$K$12,Resources!$B$1:$F$1,0))))/10</f>
        <v>80.5666666666667</v>
      </c>
      <c r="K100" s="3" t="str">
        <f aca="false">IF(J100&lt;40,"Poor",IF(J100&lt;55,"Basic",IF(J100&lt;70,"Solid",IF(J100&lt;85,"Strong",IF(J100&lt;95,"Excellent","Exceptional")))))</f>
        <v>Strong</v>
      </c>
      <c r="L100" s="3" t="s">
        <v>46</v>
      </c>
      <c r="M100" s="6" t="n">
        <f aca="false">(Weights!$C$13*IF(Weights!$D$13=0,$E100,INDEX(Resources!$B$2:$F$10,MATCH(CHOOSE(Weights!$D$13,$B100,$C100,$D100),Resources!$A$2:$A$10,0),MATCH(Weights!$E$13,Resources!$B$1:$F$1,0)))+Weights!$F$13*IF(Weights!$G$13=0,$E100,INDEX(Resources!$B$2:$F$10,MATCH(CHOOSE(Weights!$G$13,$B100,$C100,$D100),Resources!$A$2:$A$10,0),MATCH(Weights!$H$13,Resources!$B$1:$F$1,0)))+Weights!$I$13*IF(Weights!$J$13=0,$E100,INDEX(Resources!$B$2:$F$10,MATCH(CHOOSE(Weights!$J$13,$B100,$C100,$D100),Resources!$A$2:$A$10,0),MATCH(Weights!$K$13,Resources!$B$1:$F$1,0))))/10</f>
        <v>82.0166666666667</v>
      </c>
      <c r="N100" s="3" t="str">
        <f aca="false">IF(M100&lt;40,"Poor",IF(M100&lt;55,"Basic",IF(M100&lt;70,"Solid",IF(M100&lt;85,"Strong",IF(M100&lt;95,"Excellent","Exceptional")))))</f>
        <v>Strong</v>
      </c>
      <c r="O100" s="6" t="n">
        <f aca="false">MIN(100,MAX(G100,J100,M100)*(1+0.05*3))</f>
        <v>96.5425</v>
      </c>
      <c r="P100" s="3" t="str">
        <f aca="false">IF(O100&lt;40,"Poor",IF(O100&lt;55,"Basic",IF(O100&lt;70,"Solid",IF(O100&lt;85,"Strong",IF(O100&lt;95,"Excellent","Exceptional")))))</f>
        <v>Exceptional</v>
      </c>
    </row>
    <row r="101" customFormat="false" ht="15" hidden="false" customHeight="true" outlineLevel="0" collapsed="false">
      <c r="A101" s="3" t="s">
        <v>43</v>
      </c>
      <c r="B101" s="4" t="s">
        <v>14</v>
      </c>
      <c r="C101" s="4" t="s">
        <v>15</v>
      </c>
      <c r="D101" s="4" t="s">
        <v>7</v>
      </c>
      <c r="E101" s="3" t="n">
        <f aca="false">AVERAGE(INDEX(Resources!$B$2:$F$10,MATCH($B101,Resources!$A$2:$A$10,0),1),INDEX(Resources!$B$2:$F$10,MATCH($C101,Resources!$A$2:$A$10,0),1),INDEX(Resources!$B$2:$F$10,MATCH($D101,Resources!$A$2:$A$10,0),1))</f>
        <v>586.666666666667</v>
      </c>
      <c r="F101" s="3" t="s">
        <v>44</v>
      </c>
      <c r="G101" s="6" t="n">
        <f aca="false">(Weights!$C$11*IF(Weights!$D$11=0,$E101,INDEX(Resources!$B$2:$F$10,MATCH(CHOOSE(Weights!$D$11,$B101,$C101,$D101),Resources!$A$2:$A$10,0),MATCH(Weights!$E$11,Resources!$B$1:$F$1,0)))+Weights!$F$11*IF(Weights!$G$11=0,$E101,INDEX(Resources!$B$2:$F$10,MATCH(CHOOSE(Weights!$G$11,$B101,$C101,$D101),Resources!$A$2:$A$10,0),MATCH(Weights!$H$11,Resources!$B$1:$F$1,0)))+Weights!$I$11*IF(Weights!$J$11=0,$E101,INDEX(Resources!$B$2:$F$10,MATCH(CHOOSE(Weights!$J$11,$B101,$C101,$D101),Resources!$A$2:$A$10,0),MATCH(Weights!$K$11,Resources!$B$1:$F$1,0))))/10</f>
        <v>60.2</v>
      </c>
      <c r="H101" s="3" t="str">
        <f aca="false">IF(G101&lt;40,"Poor",IF(G101&lt;55,"Basic",IF(G101&lt;70,"Solid",IF(G101&lt;85,"Strong",IF(G101&lt;95,"Excellent","Exceptional")))))</f>
        <v>Solid</v>
      </c>
      <c r="I101" s="3" t="s">
        <v>45</v>
      </c>
      <c r="J101" s="6" t="n">
        <f aca="false">(Weights!$C$12*IF(Weights!$D$12=0,$E101,INDEX(Resources!$B$2:$F$10,MATCH(CHOOSE(Weights!$D$12,$B101,$C101,$D101),Resources!$A$2:$A$10,0),MATCH(Weights!$E$12,Resources!$B$1:$F$1,0)))+Weights!$F$12*IF(Weights!$G$12=0,$E101,INDEX(Resources!$B$2:$F$10,MATCH(CHOOSE(Weights!$G$12,$B101,$C101,$D101),Resources!$A$2:$A$10,0),MATCH(Weights!$H$12,Resources!$B$1:$F$1,0)))+Weights!$I$12*IF(Weights!$J$12=0,$E101,INDEX(Resources!$B$2:$F$10,MATCH(CHOOSE(Weights!$J$12,$B101,$C101,$D101),Resources!$A$2:$A$10,0),MATCH(Weights!$K$12,Resources!$B$1:$F$1,0))))/10</f>
        <v>70.1333333333333</v>
      </c>
      <c r="K101" s="3" t="str">
        <f aca="false">IF(J101&lt;40,"Poor",IF(J101&lt;55,"Basic",IF(J101&lt;70,"Solid",IF(J101&lt;85,"Strong",IF(J101&lt;95,"Excellent","Exceptional")))))</f>
        <v>Strong</v>
      </c>
      <c r="L101" s="3" t="s">
        <v>46</v>
      </c>
      <c r="M101" s="6" t="n">
        <f aca="false">(Weights!$C$13*IF(Weights!$D$13=0,$E101,INDEX(Resources!$B$2:$F$10,MATCH(CHOOSE(Weights!$D$13,$B101,$C101,$D101),Resources!$A$2:$A$10,0),MATCH(Weights!$E$13,Resources!$B$1:$F$1,0)))+Weights!$F$13*IF(Weights!$G$13=0,$E101,INDEX(Resources!$B$2:$F$10,MATCH(CHOOSE(Weights!$G$13,$B101,$C101,$D101),Resources!$A$2:$A$10,0),MATCH(Weights!$H$13,Resources!$B$1:$F$1,0)))+Weights!$I$13*IF(Weights!$J$13=0,$E101,INDEX(Resources!$B$2:$F$10,MATCH(CHOOSE(Weights!$J$13,$B101,$C101,$D101),Resources!$A$2:$A$10,0),MATCH(Weights!$K$13,Resources!$B$1:$F$1,0))))/10</f>
        <v>68.9333333333333</v>
      </c>
      <c r="N101" s="3" t="str">
        <f aca="false">IF(M101&lt;40,"Poor",IF(M101&lt;55,"Basic",IF(M101&lt;70,"Solid",IF(M101&lt;85,"Strong",IF(M101&lt;95,"Excellent","Exceptional")))))</f>
        <v>Solid</v>
      </c>
      <c r="O101" s="6" t="n">
        <f aca="false">MIN(100,MAX(G101,J101,M101)*(1+0.05*3))</f>
        <v>80.6533333333333</v>
      </c>
      <c r="P101" s="3" t="str">
        <f aca="false">IF(O101&lt;40,"Poor",IF(O101&lt;55,"Basic",IF(O101&lt;70,"Solid",IF(O101&lt;85,"Strong",IF(O101&lt;95,"Excellent","Exceptional")))))</f>
        <v>Strong</v>
      </c>
    </row>
    <row r="102" customFormat="false" ht="15" hidden="false" customHeight="true" outlineLevel="0" collapsed="false">
      <c r="A102" s="3" t="s">
        <v>43</v>
      </c>
      <c r="B102" s="4" t="s">
        <v>14</v>
      </c>
      <c r="C102" s="4" t="s">
        <v>15</v>
      </c>
      <c r="D102" s="4" t="s">
        <v>9</v>
      </c>
      <c r="E102" s="3" t="n">
        <f aca="false">AVERAGE(INDEX(Resources!$B$2:$F$10,MATCH($B102,Resources!$A$2:$A$10,0),1),INDEX(Resources!$B$2:$F$10,MATCH($C102,Resources!$A$2:$A$10,0),1),INDEX(Resources!$B$2:$F$10,MATCH($D102,Resources!$A$2:$A$10,0),1))</f>
        <v>643.333333333333</v>
      </c>
      <c r="F102" s="3" t="s">
        <v>44</v>
      </c>
      <c r="G102" s="6" t="n">
        <f aca="false">(Weights!$C$11*IF(Weights!$D$11=0,$E102,INDEX(Resources!$B$2:$F$10,MATCH(CHOOSE(Weights!$D$11,$B102,$C102,$D102),Resources!$A$2:$A$10,0),MATCH(Weights!$E$11,Resources!$B$1:$F$1,0)))+Weights!$F$11*IF(Weights!$G$11=0,$E102,INDEX(Resources!$B$2:$F$10,MATCH(CHOOSE(Weights!$G$11,$B102,$C102,$D102),Resources!$A$2:$A$10,0),MATCH(Weights!$H$11,Resources!$B$1:$F$1,0)))+Weights!$I$11*IF(Weights!$J$11=0,$E102,INDEX(Resources!$B$2:$F$10,MATCH(CHOOSE(Weights!$J$11,$B102,$C102,$D102),Resources!$A$2:$A$10,0),MATCH(Weights!$K$11,Resources!$B$1:$F$1,0))))/10</f>
        <v>61.05</v>
      </c>
      <c r="H102" s="3" t="str">
        <f aca="false">IF(G102&lt;40,"Poor",IF(G102&lt;55,"Basic",IF(G102&lt;70,"Solid",IF(G102&lt;85,"Strong",IF(G102&lt;95,"Excellent","Exceptional")))))</f>
        <v>Solid</v>
      </c>
      <c r="I102" s="3" t="s">
        <v>45</v>
      </c>
      <c r="J102" s="6" t="n">
        <f aca="false">(Weights!$C$12*IF(Weights!$D$12=0,$E102,INDEX(Resources!$B$2:$F$10,MATCH(CHOOSE(Weights!$D$12,$B102,$C102,$D102),Resources!$A$2:$A$10,0),MATCH(Weights!$E$12,Resources!$B$1:$F$1,0)))+Weights!$F$12*IF(Weights!$G$12=0,$E102,INDEX(Resources!$B$2:$F$10,MATCH(CHOOSE(Weights!$G$12,$B102,$C102,$D102),Resources!$A$2:$A$10,0),MATCH(Weights!$H$12,Resources!$B$1:$F$1,0)))+Weights!$I$12*IF(Weights!$J$12=0,$E102,INDEX(Resources!$B$2:$F$10,MATCH(CHOOSE(Weights!$J$12,$B102,$C102,$D102),Resources!$A$2:$A$10,0),MATCH(Weights!$K$12,Resources!$B$1:$F$1,0))))/10</f>
        <v>71.2666666666667</v>
      </c>
      <c r="K102" s="3" t="str">
        <f aca="false">IF(J102&lt;40,"Poor",IF(J102&lt;55,"Basic",IF(J102&lt;70,"Solid",IF(J102&lt;85,"Strong",IF(J102&lt;95,"Excellent","Exceptional")))))</f>
        <v>Strong</v>
      </c>
      <c r="L102" s="3" t="s">
        <v>46</v>
      </c>
      <c r="M102" s="6" t="n">
        <f aca="false">(Weights!$C$13*IF(Weights!$D$13=0,$E102,INDEX(Resources!$B$2:$F$10,MATCH(CHOOSE(Weights!$D$13,$B102,$C102,$D102),Resources!$A$2:$A$10,0),MATCH(Weights!$E$13,Resources!$B$1:$F$1,0)))+Weights!$F$13*IF(Weights!$G$13=0,$E102,INDEX(Resources!$B$2:$F$10,MATCH(CHOOSE(Weights!$G$13,$B102,$C102,$D102),Resources!$A$2:$A$10,0),MATCH(Weights!$H$13,Resources!$B$1:$F$1,0)))+Weights!$I$13*IF(Weights!$J$13=0,$E102,INDEX(Resources!$B$2:$F$10,MATCH(CHOOSE(Weights!$J$13,$B102,$C102,$D102),Resources!$A$2:$A$10,0),MATCH(Weights!$K$13,Resources!$B$1:$F$1,0))))/10</f>
        <v>70.0666666666667</v>
      </c>
      <c r="N102" s="3" t="str">
        <f aca="false">IF(M102&lt;40,"Poor",IF(M102&lt;55,"Basic",IF(M102&lt;70,"Solid",IF(M102&lt;85,"Strong",IF(M102&lt;95,"Excellent","Exceptional")))))</f>
        <v>Strong</v>
      </c>
      <c r="O102" s="6" t="n">
        <f aca="false">MIN(100,MAX(G102,J102,M102)*(1+0.05*3))</f>
        <v>81.9566666666667</v>
      </c>
      <c r="P102" s="3" t="str">
        <f aca="false">IF(O102&lt;40,"Poor",IF(O102&lt;55,"Basic",IF(O102&lt;70,"Solid",IF(O102&lt;85,"Strong",IF(O102&lt;95,"Excellent","Exceptional")))))</f>
        <v>Strong</v>
      </c>
    </row>
    <row r="103" customFormat="false" ht="15" hidden="false" customHeight="true" outlineLevel="0" collapsed="false">
      <c r="A103" s="3" t="s">
        <v>43</v>
      </c>
      <c r="B103" s="4" t="s">
        <v>14</v>
      </c>
      <c r="C103" s="4" t="s">
        <v>15</v>
      </c>
      <c r="D103" s="4" t="s">
        <v>10</v>
      </c>
      <c r="E103" s="3" t="n">
        <f aca="false">AVERAGE(INDEX(Resources!$B$2:$F$10,MATCH($B103,Resources!$A$2:$A$10,0),1),INDEX(Resources!$B$2:$F$10,MATCH($C103,Resources!$A$2:$A$10,0),1),INDEX(Resources!$B$2:$F$10,MATCH($D103,Resources!$A$2:$A$10,0),1))</f>
        <v>616.666666666667</v>
      </c>
      <c r="F103" s="3" t="s">
        <v>44</v>
      </c>
      <c r="G103" s="6" t="n">
        <f aca="false">(Weights!$C$11*IF(Weights!$D$11=0,$E103,INDEX(Resources!$B$2:$F$10,MATCH(CHOOSE(Weights!$D$11,$B103,$C103,$D103),Resources!$A$2:$A$10,0),MATCH(Weights!$E$11,Resources!$B$1:$F$1,0)))+Weights!$F$11*IF(Weights!$G$11=0,$E103,INDEX(Resources!$B$2:$F$10,MATCH(CHOOSE(Weights!$G$11,$B103,$C103,$D103),Resources!$A$2:$A$10,0),MATCH(Weights!$H$11,Resources!$B$1:$F$1,0)))+Weights!$I$11*IF(Weights!$J$11=0,$E103,INDEX(Resources!$B$2:$F$10,MATCH(CHOOSE(Weights!$J$11,$B103,$C103,$D103),Resources!$A$2:$A$10,0),MATCH(Weights!$K$11,Resources!$B$1:$F$1,0))))/10</f>
        <v>60.65</v>
      </c>
      <c r="H103" s="3" t="str">
        <f aca="false">IF(G103&lt;40,"Poor",IF(G103&lt;55,"Basic",IF(G103&lt;70,"Solid",IF(G103&lt;85,"Strong",IF(G103&lt;95,"Excellent","Exceptional")))))</f>
        <v>Solid</v>
      </c>
      <c r="I103" s="3" t="s">
        <v>45</v>
      </c>
      <c r="J103" s="6" t="n">
        <f aca="false">(Weights!$C$12*IF(Weights!$D$12=0,$E103,INDEX(Resources!$B$2:$F$10,MATCH(CHOOSE(Weights!$D$12,$B103,$C103,$D103),Resources!$A$2:$A$10,0),MATCH(Weights!$E$12,Resources!$B$1:$F$1,0)))+Weights!$F$12*IF(Weights!$G$12=0,$E103,INDEX(Resources!$B$2:$F$10,MATCH(CHOOSE(Weights!$G$12,$B103,$C103,$D103),Resources!$A$2:$A$10,0),MATCH(Weights!$H$12,Resources!$B$1:$F$1,0)))+Weights!$I$12*IF(Weights!$J$12=0,$E103,INDEX(Resources!$B$2:$F$10,MATCH(CHOOSE(Weights!$J$12,$B103,$C103,$D103),Resources!$A$2:$A$10,0),MATCH(Weights!$K$12,Resources!$B$1:$F$1,0))))/10</f>
        <v>70.7333333333333</v>
      </c>
      <c r="K103" s="3" t="str">
        <f aca="false">IF(J103&lt;40,"Poor",IF(J103&lt;55,"Basic",IF(J103&lt;70,"Solid",IF(J103&lt;85,"Strong",IF(J103&lt;95,"Excellent","Exceptional")))))</f>
        <v>Strong</v>
      </c>
      <c r="L103" s="3" t="s">
        <v>46</v>
      </c>
      <c r="M103" s="6" t="n">
        <f aca="false">(Weights!$C$13*IF(Weights!$D$13=0,$E103,INDEX(Resources!$B$2:$F$10,MATCH(CHOOSE(Weights!$D$13,$B103,$C103,$D103),Resources!$A$2:$A$10,0),MATCH(Weights!$E$13,Resources!$B$1:$F$1,0)))+Weights!$F$13*IF(Weights!$G$13=0,$E103,INDEX(Resources!$B$2:$F$10,MATCH(CHOOSE(Weights!$G$13,$B103,$C103,$D103),Resources!$A$2:$A$10,0),MATCH(Weights!$H$13,Resources!$B$1:$F$1,0)))+Weights!$I$13*IF(Weights!$J$13=0,$E103,INDEX(Resources!$B$2:$F$10,MATCH(CHOOSE(Weights!$J$13,$B103,$C103,$D103),Resources!$A$2:$A$10,0),MATCH(Weights!$K$13,Resources!$B$1:$F$1,0))))/10</f>
        <v>69.5333333333333</v>
      </c>
      <c r="N103" s="3" t="str">
        <f aca="false">IF(M103&lt;40,"Poor",IF(M103&lt;55,"Basic",IF(M103&lt;70,"Solid",IF(M103&lt;85,"Strong",IF(M103&lt;95,"Excellent","Exceptional")))))</f>
        <v>Solid</v>
      </c>
      <c r="O103" s="6" t="n">
        <f aca="false">MIN(100,MAX(G103,J103,M103)*(1+0.05*3))</f>
        <v>81.3433333333333</v>
      </c>
      <c r="P103" s="3" t="str">
        <f aca="false">IF(O103&lt;40,"Poor",IF(O103&lt;55,"Basic",IF(O103&lt;70,"Solid",IF(O103&lt;85,"Strong",IF(O103&lt;95,"Excellent","Exceptional")))))</f>
        <v>Strong</v>
      </c>
    </row>
    <row r="104" customFormat="false" ht="15" hidden="false" customHeight="true" outlineLevel="0" collapsed="false">
      <c r="A104" s="3" t="s">
        <v>43</v>
      </c>
      <c r="B104" s="4" t="s">
        <v>14</v>
      </c>
      <c r="C104" s="4" t="s">
        <v>17</v>
      </c>
      <c r="D104" s="4" t="s">
        <v>7</v>
      </c>
      <c r="E104" s="3" t="n">
        <f aca="false">AVERAGE(INDEX(Resources!$B$2:$F$10,MATCH($B104,Resources!$A$2:$A$10,0),1),INDEX(Resources!$B$2:$F$10,MATCH($C104,Resources!$A$2:$A$10,0),1),INDEX(Resources!$B$2:$F$10,MATCH($D104,Resources!$A$2:$A$10,0),1))</f>
        <v>556.666666666667</v>
      </c>
      <c r="F104" s="3" t="s">
        <v>44</v>
      </c>
      <c r="G104" s="6" t="n">
        <f aca="false">(Weights!$C$11*IF(Weights!$D$11=0,$E104,INDEX(Resources!$B$2:$F$10,MATCH(CHOOSE(Weights!$D$11,$B104,$C104,$D104),Resources!$A$2:$A$10,0),MATCH(Weights!$E$11,Resources!$B$1:$F$1,0)))+Weights!$F$11*IF(Weights!$G$11=0,$E104,INDEX(Resources!$B$2:$F$10,MATCH(CHOOSE(Weights!$G$11,$B104,$C104,$D104),Resources!$A$2:$A$10,0),MATCH(Weights!$H$11,Resources!$B$1:$F$1,0)))+Weights!$I$11*IF(Weights!$J$11=0,$E104,INDEX(Resources!$B$2:$F$10,MATCH(CHOOSE(Weights!$J$11,$B104,$C104,$D104),Resources!$A$2:$A$10,0),MATCH(Weights!$K$11,Resources!$B$1:$F$1,0))))/10</f>
        <v>69.5</v>
      </c>
      <c r="H104" s="3" t="str">
        <f aca="false">IF(G104&lt;40,"Poor",IF(G104&lt;55,"Basic",IF(G104&lt;70,"Solid",IF(G104&lt;85,"Strong",IF(G104&lt;95,"Excellent","Exceptional")))))</f>
        <v>Solid</v>
      </c>
      <c r="I104" s="3" t="s">
        <v>45</v>
      </c>
      <c r="J104" s="6" t="n">
        <f aca="false">(Weights!$C$12*IF(Weights!$D$12=0,$E104,INDEX(Resources!$B$2:$F$10,MATCH(CHOOSE(Weights!$D$12,$B104,$C104,$D104),Resources!$A$2:$A$10,0),MATCH(Weights!$E$12,Resources!$B$1:$F$1,0)))+Weights!$F$12*IF(Weights!$G$12=0,$E104,INDEX(Resources!$B$2:$F$10,MATCH(CHOOSE(Weights!$G$12,$B104,$C104,$D104),Resources!$A$2:$A$10,0),MATCH(Weights!$H$12,Resources!$B$1:$F$1,0)))+Weights!$I$12*IF(Weights!$J$12=0,$E104,INDEX(Resources!$B$2:$F$10,MATCH(CHOOSE(Weights!$J$12,$B104,$C104,$D104),Resources!$A$2:$A$10,0),MATCH(Weights!$K$12,Resources!$B$1:$F$1,0))))/10</f>
        <v>49.4333333333333</v>
      </c>
      <c r="K104" s="3" t="str">
        <f aca="false">IF(J104&lt;40,"Poor",IF(J104&lt;55,"Basic",IF(J104&lt;70,"Solid",IF(J104&lt;85,"Strong",IF(J104&lt;95,"Excellent","Exceptional")))))</f>
        <v>Basic</v>
      </c>
      <c r="L104" s="3" t="s">
        <v>46</v>
      </c>
      <c r="M104" s="6" t="n">
        <f aca="false">(Weights!$C$13*IF(Weights!$D$13=0,$E104,INDEX(Resources!$B$2:$F$10,MATCH(CHOOSE(Weights!$D$13,$B104,$C104,$D104),Resources!$A$2:$A$10,0),MATCH(Weights!$E$13,Resources!$B$1:$F$1,0)))+Weights!$F$13*IF(Weights!$G$13=0,$E104,INDEX(Resources!$B$2:$F$10,MATCH(CHOOSE(Weights!$G$13,$B104,$C104,$D104),Resources!$A$2:$A$10,0),MATCH(Weights!$H$13,Resources!$B$1:$F$1,0)))+Weights!$I$13*IF(Weights!$J$13=0,$E104,INDEX(Resources!$B$2:$F$10,MATCH(CHOOSE(Weights!$J$13,$B104,$C104,$D104),Resources!$A$2:$A$10,0),MATCH(Weights!$K$13,Resources!$B$1:$F$1,0))))/10</f>
        <v>51.5833333333333</v>
      </c>
      <c r="N104" s="3" t="str">
        <f aca="false">IF(M104&lt;40,"Poor",IF(M104&lt;55,"Basic",IF(M104&lt;70,"Solid",IF(M104&lt;85,"Strong",IF(M104&lt;95,"Excellent","Exceptional")))))</f>
        <v>Basic</v>
      </c>
      <c r="O104" s="6" t="n">
        <f aca="false">MIN(100,MAX(G104,J104,M104)*(1+0.05*3))</f>
        <v>79.925</v>
      </c>
      <c r="P104" s="3" t="str">
        <f aca="false">IF(O104&lt;40,"Poor",IF(O104&lt;55,"Basic",IF(O104&lt;70,"Solid",IF(O104&lt;85,"Strong",IF(O104&lt;95,"Excellent","Exceptional")))))</f>
        <v>Strong</v>
      </c>
    </row>
    <row r="105" customFormat="false" ht="15" hidden="false" customHeight="true" outlineLevel="0" collapsed="false">
      <c r="A105" s="3" t="s">
        <v>43</v>
      </c>
      <c r="B105" s="4" t="s">
        <v>14</v>
      </c>
      <c r="C105" s="4" t="s">
        <v>17</v>
      </c>
      <c r="D105" s="4" t="s">
        <v>9</v>
      </c>
      <c r="E105" s="3" t="n">
        <f aca="false">AVERAGE(INDEX(Resources!$B$2:$F$10,MATCH($B105,Resources!$A$2:$A$10,0),1),INDEX(Resources!$B$2:$F$10,MATCH($C105,Resources!$A$2:$A$10,0),1),INDEX(Resources!$B$2:$F$10,MATCH($D105,Resources!$A$2:$A$10,0),1))</f>
        <v>613.333333333333</v>
      </c>
      <c r="F105" s="3" t="s">
        <v>44</v>
      </c>
      <c r="G105" s="6" t="n">
        <f aca="false">(Weights!$C$11*IF(Weights!$D$11=0,$E105,INDEX(Resources!$B$2:$F$10,MATCH(CHOOSE(Weights!$D$11,$B105,$C105,$D105),Resources!$A$2:$A$10,0),MATCH(Weights!$E$11,Resources!$B$1:$F$1,0)))+Weights!$F$11*IF(Weights!$G$11=0,$E105,INDEX(Resources!$B$2:$F$10,MATCH(CHOOSE(Weights!$G$11,$B105,$C105,$D105),Resources!$A$2:$A$10,0),MATCH(Weights!$H$11,Resources!$B$1:$F$1,0)))+Weights!$I$11*IF(Weights!$J$11=0,$E105,INDEX(Resources!$B$2:$F$10,MATCH(CHOOSE(Weights!$J$11,$B105,$C105,$D105),Resources!$A$2:$A$10,0),MATCH(Weights!$K$11,Resources!$B$1:$F$1,0))))/10</f>
        <v>70.35</v>
      </c>
      <c r="H105" s="3" t="str">
        <f aca="false">IF(G105&lt;40,"Poor",IF(G105&lt;55,"Basic",IF(G105&lt;70,"Solid",IF(G105&lt;85,"Strong",IF(G105&lt;95,"Excellent","Exceptional")))))</f>
        <v>Strong</v>
      </c>
      <c r="I105" s="3" t="s">
        <v>45</v>
      </c>
      <c r="J105" s="6" t="n">
        <f aca="false">(Weights!$C$12*IF(Weights!$D$12=0,$E105,INDEX(Resources!$B$2:$F$10,MATCH(CHOOSE(Weights!$D$12,$B105,$C105,$D105),Resources!$A$2:$A$10,0),MATCH(Weights!$E$12,Resources!$B$1:$F$1,0)))+Weights!$F$12*IF(Weights!$G$12=0,$E105,INDEX(Resources!$B$2:$F$10,MATCH(CHOOSE(Weights!$G$12,$B105,$C105,$D105),Resources!$A$2:$A$10,0),MATCH(Weights!$H$12,Resources!$B$1:$F$1,0)))+Weights!$I$12*IF(Weights!$J$12=0,$E105,INDEX(Resources!$B$2:$F$10,MATCH(CHOOSE(Weights!$J$12,$B105,$C105,$D105),Resources!$A$2:$A$10,0),MATCH(Weights!$K$12,Resources!$B$1:$F$1,0))))/10</f>
        <v>50.5666666666667</v>
      </c>
      <c r="K105" s="3" t="str">
        <f aca="false">IF(J105&lt;40,"Poor",IF(J105&lt;55,"Basic",IF(J105&lt;70,"Solid",IF(J105&lt;85,"Strong",IF(J105&lt;95,"Excellent","Exceptional")))))</f>
        <v>Basic</v>
      </c>
      <c r="L105" s="3" t="s">
        <v>46</v>
      </c>
      <c r="M105" s="6" t="n">
        <f aca="false">(Weights!$C$13*IF(Weights!$D$13=0,$E105,INDEX(Resources!$B$2:$F$10,MATCH(CHOOSE(Weights!$D$13,$B105,$C105,$D105),Resources!$A$2:$A$10,0),MATCH(Weights!$E$13,Resources!$B$1:$F$1,0)))+Weights!$F$13*IF(Weights!$G$13=0,$E105,INDEX(Resources!$B$2:$F$10,MATCH(CHOOSE(Weights!$G$13,$B105,$C105,$D105),Resources!$A$2:$A$10,0),MATCH(Weights!$H$13,Resources!$B$1:$F$1,0)))+Weights!$I$13*IF(Weights!$J$13=0,$E105,INDEX(Resources!$B$2:$F$10,MATCH(CHOOSE(Weights!$J$13,$B105,$C105,$D105),Resources!$A$2:$A$10,0),MATCH(Weights!$K$13,Resources!$B$1:$F$1,0))))/10</f>
        <v>52.7166666666667</v>
      </c>
      <c r="N105" s="3" t="str">
        <f aca="false">IF(M105&lt;40,"Poor",IF(M105&lt;55,"Basic",IF(M105&lt;70,"Solid",IF(M105&lt;85,"Strong",IF(M105&lt;95,"Excellent","Exceptional")))))</f>
        <v>Basic</v>
      </c>
      <c r="O105" s="6" t="n">
        <f aca="false">MIN(100,MAX(G105,J105,M105)*(1+0.05*3))</f>
        <v>80.9025</v>
      </c>
      <c r="P105" s="3" t="str">
        <f aca="false">IF(O105&lt;40,"Poor",IF(O105&lt;55,"Basic",IF(O105&lt;70,"Solid",IF(O105&lt;85,"Strong",IF(O105&lt;95,"Excellent","Exceptional")))))</f>
        <v>Strong</v>
      </c>
    </row>
    <row r="106" customFormat="false" ht="15" hidden="false" customHeight="true" outlineLevel="0" collapsed="false">
      <c r="A106" s="3" t="s">
        <v>43</v>
      </c>
      <c r="B106" s="4" t="s">
        <v>14</v>
      </c>
      <c r="C106" s="4" t="s">
        <v>17</v>
      </c>
      <c r="D106" s="4" t="s">
        <v>10</v>
      </c>
      <c r="E106" s="3" t="n">
        <f aca="false">AVERAGE(INDEX(Resources!$B$2:$F$10,MATCH($B106,Resources!$A$2:$A$10,0),1),INDEX(Resources!$B$2:$F$10,MATCH($C106,Resources!$A$2:$A$10,0),1),INDEX(Resources!$B$2:$F$10,MATCH($D106,Resources!$A$2:$A$10,0),1))</f>
        <v>586.666666666667</v>
      </c>
      <c r="F106" s="3" t="s">
        <v>44</v>
      </c>
      <c r="G106" s="6" t="n">
        <f aca="false">(Weights!$C$11*IF(Weights!$D$11=0,$E106,INDEX(Resources!$B$2:$F$10,MATCH(CHOOSE(Weights!$D$11,$B106,$C106,$D106),Resources!$A$2:$A$10,0),MATCH(Weights!$E$11,Resources!$B$1:$F$1,0)))+Weights!$F$11*IF(Weights!$G$11=0,$E106,INDEX(Resources!$B$2:$F$10,MATCH(CHOOSE(Weights!$G$11,$B106,$C106,$D106),Resources!$A$2:$A$10,0),MATCH(Weights!$H$11,Resources!$B$1:$F$1,0)))+Weights!$I$11*IF(Weights!$J$11=0,$E106,INDEX(Resources!$B$2:$F$10,MATCH(CHOOSE(Weights!$J$11,$B106,$C106,$D106),Resources!$A$2:$A$10,0),MATCH(Weights!$K$11,Resources!$B$1:$F$1,0))))/10</f>
        <v>69.95</v>
      </c>
      <c r="H106" s="3" t="str">
        <f aca="false">IF(G106&lt;40,"Poor",IF(G106&lt;55,"Basic",IF(G106&lt;70,"Solid",IF(G106&lt;85,"Strong",IF(G106&lt;95,"Excellent","Exceptional")))))</f>
        <v>Solid</v>
      </c>
      <c r="I106" s="3" t="s">
        <v>45</v>
      </c>
      <c r="J106" s="6" t="n">
        <f aca="false">(Weights!$C$12*IF(Weights!$D$12=0,$E106,INDEX(Resources!$B$2:$F$10,MATCH(CHOOSE(Weights!$D$12,$B106,$C106,$D106),Resources!$A$2:$A$10,0),MATCH(Weights!$E$12,Resources!$B$1:$F$1,0)))+Weights!$F$12*IF(Weights!$G$12=0,$E106,INDEX(Resources!$B$2:$F$10,MATCH(CHOOSE(Weights!$G$12,$B106,$C106,$D106),Resources!$A$2:$A$10,0),MATCH(Weights!$H$12,Resources!$B$1:$F$1,0)))+Weights!$I$12*IF(Weights!$J$12=0,$E106,INDEX(Resources!$B$2:$F$10,MATCH(CHOOSE(Weights!$J$12,$B106,$C106,$D106),Resources!$A$2:$A$10,0),MATCH(Weights!$K$12,Resources!$B$1:$F$1,0))))/10</f>
        <v>50.0333333333333</v>
      </c>
      <c r="K106" s="3" t="str">
        <f aca="false">IF(J106&lt;40,"Poor",IF(J106&lt;55,"Basic",IF(J106&lt;70,"Solid",IF(J106&lt;85,"Strong",IF(J106&lt;95,"Excellent","Exceptional")))))</f>
        <v>Basic</v>
      </c>
      <c r="L106" s="3" t="s">
        <v>46</v>
      </c>
      <c r="M106" s="6" t="n">
        <f aca="false">(Weights!$C$13*IF(Weights!$D$13=0,$E106,INDEX(Resources!$B$2:$F$10,MATCH(CHOOSE(Weights!$D$13,$B106,$C106,$D106),Resources!$A$2:$A$10,0),MATCH(Weights!$E$13,Resources!$B$1:$F$1,0)))+Weights!$F$13*IF(Weights!$G$13=0,$E106,INDEX(Resources!$B$2:$F$10,MATCH(CHOOSE(Weights!$G$13,$B106,$C106,$D106),Resources!$A$2:$A$10,0),MATCH(Weights!$H$13,Resources!$B$1:$F$1,0)))+Weights!$I$13*IF(Weights!$J$13=0,$E106,INDEX(Resources!$B$2:$F$10,MATCH(CHOOSE(Weights!$J$13,$B106,$C106,$D106),Resources!$A$2:$A$10,0),MATCH(Weights!$K$13,Resources!$B$1:$F$1,0))))/10</f>
        <v>52.1833333333333</v>
      </c>
      <c r="N106" s="3" t="str">
        <f aca="false">IF(M106&lt;40,"Poor",IF(M106&lt;55,"Basic",IF(M106&lt;70,"Solid",IF(M106&lt;85,"Strong",IF(M106&lt;95,"Excellent","Exceptional")))))</f>
        <v>Basic</v>
      </c>
      <c r="O106" s="6" t="n">
        <f aca="false">MIN(100,MAX(G106,J106,M106)*(1+0.05*3))</f>
        <v>80.4425</v>
      </c>
      <c r="P106" s="3" t="str">
        <f aca="false">IF(O106&lt;40,"Poor",IF(O106&lt;55,"Basic",IF(O106&lt;70,"Solid",IF(O106&lt;85,"Strong",IF(O106&lt;95,"Excellent","Exceptional")))))</f>
        <v>Strong</v>
      </c>
    </row>
    <row r="107" customFormat="false" ht="15" hidden="false" customHeight="true" outlineLevel="0" collapsed="false">
      <c r="A107" s="3" t="s">
        <v>43</v>
      </c>
      <c r="B107" s="4" t="s">
        <v>14</v>
      </c>
      <c r="C107" s="4" t="s">
        <v>18</v>
      </c>
      <c r="D107" s="4" t="s">
        <v>7</v>
      </c>
      <c r="E107" s="3" t="n">
        <f aca="false">AVERAGE(INDEX(Resources!$B$2:$F$10,MATCH($B107,Resources!$A$2:$A$10,0),1),INDEX(Resources!$B$2:$F$10,MATCH($C107,Resources!$A$2:$A$10,0),1),INDEX(Resources!$B$2:$F$10,MATCH($D107,Resources!$A$2:$A$10,0),1))</f>
        <v>626.666666666667</v>
      </c>
      <c r="F107" s="3" t="s">
        <v>44</v>
      </c>
      <c r="G107" s="6" t="n">
        <f aca="false">(Weights!$C$11*IF(Weights!$D$11=0,$E107,INDEX(Resources!$B$2:$F$10,MATCH(CHOOSE(Weights!$D$11,$B107,$C107,$D107),Resources!$A$2:$A$10,0),MATCH(Weights!$E$11,Resources!$B$1:$F$1,0)))+Weights!$F$11*IF(Weights!$G$11=0,$E107,INDEX(Resources!$B$2:$F$10,MATCH(CHOOSE(Weights!$G$11,$B107,$C107,$D107),Resources!$A$2:$A$10,0),MATCH(Weights!$H$11,Resources!$B$1:$F$1,0)))+Weights!$I$11*IF(Weights!$J$11=0,$E107,INDEX(Resources!$B$2:$F$10,MATCH(CHOOSE(Weights!$J$11,$B107,$C107,$D107),Resources!$A$2:$A$10,0),MATCH(Weights!$K$11,Resources!$B$1:$F$1,0))))/10</f>
        <v>64.8</v>
      </c>
      <c r="H107" s="3" t="str">
        <f aca="false">IF(G107&lt;40,"Poor",IF(G107&lt;55,"Basic",IF(G107&lt;70,"Solid",IF(G107&lt;85,"Strong",IF(G107&lt;95,"Excellent","Exceptional")))))</f>
        <v>Solid</v>
      </c>
      <c r="I107" s="3" t="s">
        <v>45</v>
      </c>
      <c r="J107" s="6" t="n">
        <f aca="false">(Weights!$C$12*IF(Weights!$D$12=0,$E107,INDEX(Resources!$B$2:$F$10,MATCH(CHOOSE(Weights!$D$12,$B107,$C107,$D107),Resources!$A$2:$A$10,0),MATCH(Weights!$E$12,Resources!$B$1:$F$1,0)))+Weights!$F$12*IF(Weights!$G$12=0,$E107,INDEX(Resources!$B$2:$F$10,MATCH(CHOOSE(Weights!$G$12,$B107,$C107,$D107),Resources!$A$2:$A$10,0),MATCH(Weights!$H$12,Resources!$B$1:$F$1,0)))+Weights!$I$12*IF(Weights!$J$12=0,$E107,INDEX(Resources!$B$2:$F$10,MATCH(CHOOSE(Weights!$J$12,$B107,$C107,$D107),Resources!$A$2:$A$10,0),MATCH(Weights!$K$12,Resources!$B$1:$F$1,0))))/10</f>
        <v>63.7333333333333</v>
      </c>
      <c r="K107" s="3" t="str">
        <f aca="false">IF(J107&lt;40,"Poor",IF(J107&lt;55,"Basic",IF(J107&lt;70,"Solid",IF(J107&lt;85,"Strong",IF(J107&lt;95,"Excellent","Exceptional")))))</f>
        <v>Solid</v>
      </c>
      <c r="L107" s="3" t="s">
        <v>46</v>
      </c>
      <c r="M107" s="6" t="n">
        <f aca="false">(Weights!$C$13*IF(Weights!$D$13=0,$E107,INDEX(Resources!$B$2:$F$10,MATCH(CHOOSE(Weights!$D$13,$B107,$C107,$D107),Resources!$A$2:$A$10,0),MATCH(Weights!$E$13,Resources!$B$1:$F$1,0)))+Weights!$F$13*IF(Weights!$G$13=0,$E107,INDEX(Resources!$B$2:$F$10,MATCH(CHOOSE(Weights!$G$13,$B107,$C107,$D107),Resources!$A$2:$A$10,0),MATCH(Weights!$H$13,Resources!$B$1:$F$1,0)))+Weights!$I$13*IF(Weights!$J$13=0,$E107,INDEX(Resources!$B$2:$F$10,MATCH(CHOOSE(Weights!$J$13,$B107,$C107,$D107),Resources!$A$2:$A$10,0),MATCH(Weights!$K$13,Resources!$B$1:$F$1,0))))/10</f>
        <v>63.7333333333333</v>
      </c>
      <c r="N107" s="3" t="str">
        <f aca="false">IF(M107&lt;40,"Poor",IF(M107&lt;55,"Basic",IF(M107&lt;70,"Solid",IF(M107&lt;85,"Strong",IF(M107&lt;95,"Excellent","Exceptional")))))</f>
        <v>Solid</v>
      </c>
      <c r="O107" s="6" t="n">
        <f aca="false">MIN(100,MAX(G107,J107,M107)*(1+0.05*3))</f>
        <v>74.52</v>
      </c>
      <c r="P107" s="3" t="str">
        <f aca="false">IF(O107&lt;40,"Poor",IF(O107&lt;55,"Basic",IF(O107&lt;70,"Solid",IF(O107&lt;85,"Strong",IF(O107&lt;95,"Excellent","Exceptional")))))</f>
        <v>Strong</v>
      </c>
    </row>
    <row r="108" customFormat="false" ht="15" hidden="false" customHeight="true" outlineLevel="0" collapsed="false">
      <c r="A108" s="3" t="s">
        <v>43</v>
      </c>
      <c r="B108" s="4" t="s">
        <v>14</v>
      </c>
      <c r="C108" s="4" t="s">
        <v>18</v>
      </c>
      <c r="D108" s="4" t="s">
        <v>9</v>
      </c>
      <c r="E108" s="3" t="n">
        <f aca="false">AVERAGE(INDEX(Resources!$B$2:$F$10,MATCH($B108,Resources!$A$2:$A$10,0),1),INDEX(Resources!$B$2:$F$10,MATCH($C108,Resources!$A$2:$A$10,0),1),INDEX(Resources!$B$2:$F$10,MATCH($D108,Resources!$A$2:$A$10,0),1))</f>
        <v>683.333333333333</v>
      </c>
      <c r="F108" s="3" t="s">
        <v>44</v>
      </c>
      <c r="G108" s="6" t="n">
        <f aca="false">(Weights!$C$11*IF(Weights!$D$11=0,$E108,INDEX(Resources!$B$2:$F$10,MATCH(CHOOSE(Weights!$D$11,$B108,$C108,$D108),Resources!$A$2:$A$10,0),MATCH(Weights!$E$11,Resources!$B$1:$F$1,0)))+Weights!$F$11*IF(Weights!$G$11=0,$E108,INDEX(Resources!$B$2:$F$10,MATCH(CHOOSE(Weights!$G$11,$B108,$C108,$D108),Resources!$A$2:$A$10,0),MATCH(Weights!$H$11,Resources!$B$1:$F$1,0)))+Weights!$I$11*IF(Weights!$J$11=0,$E108,INDEX(Resources!$B$2:$F$10,MATCH(CHOOSE(Weights!$J$11,$B108,$C108,$D108),Resources!$A$2:$A$10,0),MATCH(Weights!$K$11,Resources!$B$1:$F$1,0))))/10</f>
        <v>65.65</v>
      </c>
      <c r="H108" s="3" t="str">
        <f aca="false">IF(G108&lt;40,"Poor",IF(G108&lt;55,"Basic",IF(G108&lt;70,"Solid",IF(G108&lt;85,"Strong",IF(G108&lt;95,"Excellent","Exceptional")))))</f>
        <v>Solid</v>
      </c>
      <c r="I108" s="3" t="s">
        <v>45</v>
      </c>
      <c r="J108" s="6" t="n">
        <f aca="false">(Weights!$C$12*IF(Weights!$D$12=0,$E108,INDEX(Resources!$B$2:$F$10,MATCH(CHOOSE(Weights!$D$12,$B108,$C108,$D108),Resources!$A$2:$A$10,0),MATCH(Weights!$E$12,Resources!$B$1:$F$1,0)))+Weights!$F$12*IF(Weights!$G$12=0,$E108,INDEX(Resources!$B$2:$F$10,MATCH(CHOOSE(Weights!$G$12,$B108,$C108,$D108),Resources!$A$2:$A$10,0),MATCH(Weights!$H$12,Resources!$B$1:$F$1,0)))+Weights!$I$12*IF(Weights!$J$12=0,$E108,INDEX(Resources!$B$2:$F$10,MATCH(CHOOSE(Weights!$J$12,$B108,$C108,$D108),Resources!$A$2:$A$10,0),MATCH(Weights!$K$12,Resources!$B$1:$F$1,0))))/10</f>
        <v>64.8666666666667</v>
      </c>
      <c r="K108" s="3" t="str">
        <f aca="false">IF(J108&lt;40,"Poor",IF(J108&lt;55,"Basic",IF(J108&lt;70,"Solid",IF(J108&lt;85,"Strong",IF(J108&lt;95,"Excellent","Exceptional")))))</f>
        <v>Solid</v>
      </c>
      <c r="L108" s="3" t="s">
        <v>46</v>
      </c>
      <c r="M108" s="6" t="n">
        <f aca="false">(Weights!$C$13*IF(Weights!$D$13=0,$E108,INDEX(Resources!$B$2:$F$10,MATCH(CHOOSE(Weights!$D$13,$B108,$C108,$D108),Resources!$A$2:$A$10,0),MATCH(Weights!$E$13,Resources!$B$1:$F$1,0)))+Weights!$F$13*IF(Weights!$G$13=0,$E108,INDEX(Resources!$B$2:$F$10,MATCH(CHOOSE(Weights!$G$13,$B108,$C108,$D108),Resources!$A$2:$A$10,0),MATCH(Weights!$H$13,Resources!$B$1:$F$1,0)))+Weights!$I$13*IF(Weights!$J$13=0,$E108,INDEX(Resources!$B$2:$F$10,MATCH(CHOOSE(Weights!$J$13,$B108,$C108,$D108),Resources!$A$2:$A$10,0),MATCH(Weights!$K$13,Resources!$B$1:$F$1,0))))/10</f>
        <v>64.8666666666667</v>
      </c>
      <c r="N108" s="3" t="str">
        <f aca="false">IF(M108&lt;40,"Poor",IF(M108&lt;55,"Basic",IF(M108&lt;70,"Solid",IF(M108&lt;85,"Strong",IF(M108&lt;95,"Excellent","Exceptional")))))</f>
        <v>Solid</v>
      </c>
      <c r="O108" s="6" t="n">
        <f aca="false">MIN(100,MAX(G108,J108,M108)*(1+0.05*3))</f>
        <v>75.4975</v>
      </c>
      <c r="P108" s="3" t="str">
        <f aca="false">IF(O108&lt;40,"Poor",IF(O108&lt;55,"Basic",IF(O108&lt;70,"Solid",IF(O108&lt;85,"Strong",IF(O108&lt;95,"Excellent","Exceptional")))))</f>
        <v>Strong</v>
      </c>
    </row>
    <row r="109" customFormat="false" ht="15" hidden="false" customHeight="true" outlineLevel="0" collapsed="false">
      <c r="A109" s="3" t="s">
        <v>43</v>
      </c>
      <c r="B109" s="4" t="s">
        <v>14</v>
      </c>
      <c r="C109" s="4" t="s">
        <v>18</v>
      </c>
      <c r="D109" s="4" t="s">
        <v>10</v>
      </c>
      <c r="E109" s="3" t="n">
        <f aca="false">AVERAGE(INDEX(Resources!$B$2:$F$10,MATCH($B109,Resources!$A$2:$A$10,0),1),INDEX(Resources!$B$2:$F$10,MATCH($C109,Resources!$A$2:$A$10,0),1),INDEX(Resources!$B$2:$F$10,MATCH($D109,Resources!$A$2:$A$10,0),1))</f>
        <v>656.666666666667</v>
      </c>
      <c r="F109" s="3" t="s">
        <v>44</v>
      </c>
      <c r="G109" s="6" t="n">
        <f aca="false">(Weights!$C$11*IF(Weights!$D$11=0,$E109,INDEX(Resources!$B$2:$F$10,MATCH(CHOOSE(Weights!$D$11,$B109,$C109,$D109),Resources!$A$2:$A$10,0),MATCH(Weights!$E$11,Resources!$B$1:$F$1,0)))+Weights!$F$11*IF(Weights!$G$11=0,$E109,INDEX(Resources!$B$2:$F$10,MATCH(CHOOSE(Weights!$G$11,$B109,$C109,$D109),Resources!$A$2:$A$10,0),MATCH(Weights!$H$11,Resources!$B$1:$F$1,0)))+Weights!$I$11*IF(Weights!$J$11=0,$E109,INDEX(Resources!$B$2:$F$10,MATCH(CHOOSE(Weights!$J$11,$B109,$C109,$D109),Resources!$A$2:$A$10,0),MATCH(Weights!$K$11,Resources!$B$1:$F$1,0))))/10</f>
        <v>65.25</v>
      </c>
      <c r="H109" s="3" t="str">
        <f aca="false">IF(G109&lt;40,"Poor",IF(G109&lt;55,"Basic",IF(G109&lt;70,"Solid",IF(G109&lt;85,"Strong",IF(G109&lt;95,"Excellent","Exceptional")))))</f>
        <v>Solid</v>
      </c>
      <c r="I109" s="3" t="s">
        <v>45</v>
      </c>
      <c r="J109" s="6" t="n">
        <f aca="false">(Weights!$C$12*IF(Weights!$D$12=0,$E109,INDEX(Resources!$B$2:$F$10,MATCH(CHOOSE(Weights!$D$12,$B109,$C109,$D109),Resources!$A$2:$A$10,0),MATCH(Weights!$E$12,Resources!$B$1:$F$1,0)))+Weights!$F$12*IF(Weights!$G$12=0,$E109,INDEX(Resources!$B$2:$F$10,MATCH(CHOOSE(Weights!$G$12,$B109,$C109,$D109),Resources!$A$2:$A$10,0),MATCH(Weights!$H$12,Resources!$B$1:$F$1,0)))+Weights!$I$12*IF(Weights!$J$12=0,$E109,INDEX(Resources!$B$2:$F$10,MATCH(CHOOSE(Weights!$J$12,$B109,$C109,$D109),Resources!$A$2:$A$10,0),MATCH(Weights!$K$12,Resources!$B$1:$F$1,0))))/10</f>
        <v>64.3333333333333</v>
      </c>
      <c r="K109" s="3" t="str">
        <f aca="false">IF(J109&lt;40,"Poor",IF(J109&lt;55,"Basic",IF(J109&lt;70,"Solid",IF(J109&lt;85,"Strong",IF(J109&lt;95,"Excellent","Exceptional")))))</f>
        <v>Solid</v>
      </c>
      <c r="L109" s="3" t="s">
        <v>46</v>
      </c>
      <c r="M109" s="6" t="n">
        <f aca="false">(Weights!$C$13*IF(Weights!$D$13=0,$E109,INDEX(Resources!$B$2:$F$10,MATCH(CHOOSE(Weights!$D$13,$B109,$C109,$D109),Resources!$A$2:$A$10,0),MATCH(Weights!$E$13,Resources!$B$1:$F$1,0)))+Weights!$F$13*IF(Weights!$G$13=0,$E109,INDEX(Resources!$B$2:$F$10,MATCH(CHOOSE(Weights!$G$13,$B109,$C109,$D109),Resources!$A$2:$A$10,0),MATCH(Weights!$H$13,Resources!$B$1:$F$1,0)))+Weights!$I$13*IF(Weights!$J$13=0,$E109,INDEX(Resources!$B$2:$F$10,MATCH(CHOOSE(Weights!$J$13,$B109,$C109,$D109),Resources!$A$2:$A$10,0),MATCH(Weights!$K$13,Resources!$B$1:$F$1,0))))/10</f>
        <v>64.3333333333333</v>
      </c>
      <c r="N109" s="3" t="str">
        <f aca="false">IF(M109&lt;40,"Poor",IF(M109&lt;55,"Basic",IF(M109&lt;70,"Solid",IF(M109&lt;85,"Strong",IF(M109&lt;95,"Excellent","Exceptional")))))</f>
        <v>Solid</v>
      </c>
      <c r="O109" s="6" t="n">
        <f aca="false">MIN(100,MAX(G109,J109,M109)*(1+0.05*3))</f>
        <v>75.0375</v>
      </c>
      <c r="P109" s="3" t="str">
        <f aca="false">IF(O109&lt;40,"Poor",IF(O109&lt;55,"Basic",IF(O109&lt;70,"Solid",IF(O109&lt;85,"Strong",IF(O109&lt;95,"Excellent","Exceptional")))))</f>
        <v>Strong</v>
      </c>
    </row>
    <row r="110" customFormat="false" ht="15" hidden="false" customHeight="true" outlineLevel="0" collapsed="false">
      <c r="A110" s="3" t="s">
        <v>47</v>
      </c>
      <c r="B110" s="4" t="s">
        <v>7</v>
      </c>
      <c r="C110" s="4" t="s">
        <v>11</v>
      </c>
      <c r="D110" s="4" t="s">
        <v>15</v>
      </c>
      <c r="E110" s="3" t="n">
        <f aca="false">AVERAGE(INDEX(Resources!$B$2:$F$10,MATCH($B110,Resources!$A$2:$A$10,0),1),INDEX(Resources!$B$2:$F$10,MATCH($C110,Resources!$A$2:$A$10,0),1),INDEX(Resources!$B$2:$F$10,MATCH($D110,Resources!$A$2:$A$10,0),1))</f>
        <v>513.333333333333</v>
      </c>
      <c r="F110" s="3" t="s">
        <v>48</v>
      </c>
      <c r="G110" s="6" t="n">
        <f aca="false">(Weights!$C$14*IF(Weights!$D$14=0,$E110,INDEX(Resources!$B$2:$F$10,MATCH(CHOOSE(Weights!$D$14,$B110,$C110,$D110),Resources!$A$2:$A$10,0),MATCH(Weights!$E$14,Resources!$B$1:$F$1,0)))+Weights!$F$14*IF(Weights!$G$14=0,$E110,INDEX(Resources!$B$2:$F$10,MATCH(CHOOSE(Weights!$G$14,$B110,$C110,$D110),Resources!$A$2:$A$10,0),MATCH(Weights!$H$14,Resources!$B$1:$F$1,0)))+Weights!$I$14*IF(Weights!$J$14=0,$E110,INDEX(Resources!$B$2:$F$10,MATCH(CHOOSE(Weights!$J$14,$B110,$C110,$D110),Resources!$A$2:$A$10,0),MATCH(Weights!$K$14,Resources!$B$1:$F$1,0))))/10</f>
        <v>56.1666666666667</v>
      </c>
      <c r="H110" s="3" t="str">
        <f aca="false">IF(G110&lt;40,"Poor",IF(G110&lt;55,"Basic",IF(G110&lt;70,"Solid",IF(G110&lt;85,"Strong",IF(G110&lt;95,"Excellent","Exceptional")))))</f>
        <v>Solid</v>
      </c>
      <c r="I110" s="3" t="s">
        <v>49</v>
      </c>
      <c r="J110" s="6" t="n">
        <f aca="false">(Weights!$C$15*IF(Weights!$D$15=0,$E110,INDEX(Resources!$B$2:$F$10,MATCH(CHOOSE(Weights!$D$15,$B110,$C110,$D110),Resources!$A$2:$A$10,0),MATCH(Weights!$E$15,Resources!$B$1:$F$1,0)))+Weights!$F$15*IF(Weights!$G$15=0,$E110,INDEX(Resources!$B$2:$F$10,MATCH(CHOOSE(Weights!$G$15,$B110,$C110,$D110),Resources!$A$2:$A$10,0),MATCH(Weights!$H$15,Resources!$B$1:$F$1,0)))+Weights!$I$15*IF(Weights!$J$15=0,$E110,INDEX(Resources!$B$2:$F$10,MATCH(CHOOSE(Weights!$J$15,$B110,$C110,$D110),Resources!$A$2:$A$10,0),MATCH(Weights!$K$15,Resources!$B$1:$F$1,0))))/10</f>
        <v>67.8</v>
      </c>
      <c r="K110" s="3" t="str">
        <f aca="false">IF(J110&lt;40,"Poor",IF(J110&lt;55,"Basic",IF(J110&lt;70,"Solid",IF(J110&lt;85,"Strong",IF(J110&lt;95,"Excellent","Exceptional")))))</f>
        <v>Solid</v>
      </c>
      <c r="L110" s="3" t="s">
        <v>50</v>
      </c>
      <c r="M110" s="6" t="n">
        <f aca="false">(Weights!$C$16*IF(Weights!$D$16=0,$E110,INDEX(Resources!$B$2:$F$10,MATCH(CHOOSE(Weights!$D$16,$B110,$C110,$D110),Resources!$A$2:$A$10,0),MATCH(Weights!$E$16,Resources!$B$1:$F$1,0)))+Weights!$F$16*IF(Weights!$G$16=0,$E110,INDEX(Resources!$B$2:$F$10,MATCH(CHOOSE(Weights!$G$16,$B110,$C110,$D110),Resources!$A$2:$A$10,0),MATCH(Weights!$H$16,Resources!$B$1:$F$1,0)))+Weights!$I$16*IF(Weights!$J$16=0,$E110,INDEX(Resources!$B$2:$F$10,MATCH(CHOOSE(Weights!$J$16,$B110,$C110,$D110),Resources!$A$2:$A$10,0),MATCH(Weights!$K$16,Resources!$B$1:$F$1,0))))/10</f>
        <v>75.0666666666667</v>
      </c>
      <c r="N110" s="3" t="str">
        <f aca="false">IF(M110&lt;40,"Poor",IF(M110&lt;55,"Basic",IF(M110&lt;70,"Solid",IF(M110&lt;85,"Strong",IF(M110&lt;95,"Excellent","Exceptional")))))</f>
        <v>Strong</v>
      </c>
      <c r="O110" s="6" t="n">
        <f aca="false">MIN(100,MAX(G110,J110,M110)*(1+0.05*3))</f>
        <v>86.3266666666667</v>
      </c>
      <c r="P110" s="3" t="str">
        <f aca="false">IF(O110&lt;40,"Poor",IF(O110&lt;55,"Basic",IF(O110&lt;70,"Solid",IF(O110&lt;85,"Strong",IF(O110&lt;95,"Excellent","Exceptional")))))</f>
        <v>Excellent</v>
      </c>
    </row>
    <row r="111" customFormat="false" ht="15" hidden="false" customHeight="true" outlineLevel="0" collapsed="false">
      <c r="A111" s="3" t="s">
        <v>47</v>
      </c>
      <c r="B111" s="4" t="s">
        <v>7</v>
      </c>
      <c r="C111" s="4" t="s">
        <v>11</v>
      </c>
      <c r="D111" s="4" t="s">
        <v>17</v>
      </c>
      <c r="E111" s="3" t="n">
        <f aca="false">AVERAGE(INDEX(Resources!$B$2:$F$10,MATCH($B111,Resources!$A$2:$A$10,0),1),INDEX(Resources!$B$2:$F$10,MATCH($C111,Resources!$A$2:$A$10,0),1),INDEX(Resources!$B$2:$F$10,MATCH($D111,Resources!$A$2:$A$10,0),1))</f>
        <v>483.333333333333</v>
      </c>
      <c r="F111" s="3" t="s">
        <v>48</v>
      </c>
      <c r="G111" s="6" t="n">
        <f aca="false">(Weights!$C$14*IF(Weights!$D$14=0,$E111,INDEX(Resources!$B$2:$F$10,MATCH(CHOOSE(Weights!$D$14,$B111,$C111,$D111),Resources!$A$2:$A$10,0),MATCH(Weights!$E$14,Resources!$B$1:$F$1,0)))+Weights!$F$14*IF(Weights!$G$14=0,$E111,INDEX(Resources!$B$2:$F$10,MATCH(CHOOSE(Weights!$G$14,$B111,$C111,$D111),Resources!$A$2:$A$10,0),MATCH(Weights!$H$14,Resources!$B$1:$F$1,0)))+Weights!$I$14*IF(Weights!$J$14=0,$E111,INDEX(Resources!$B$2:$F$10,MATCH(CHOOSE(Weights!$J$14,$B111,$C111,$D111),Resources!$A$2:$A$10,0),MATCH(Weights!$K$14,Resources!$B$1:$F$1,0))))/10</f>
        <v>55.1166666666667</v>
      </c>
      <c r="H111" s="3" t="str">
        <f aca="false">IF(G111&lt;40,"Poor",IF(G111&lt;55,"Basic",IF(G111&lt;70,"Solid",IF(G111&lt;85,"Strong",IF(G111&lt;95,"Excellent","Exceptional")))))</f>
        <v>Solid</v>
      </c>
      <c r="I111" s="3" t="s">
        <v>49</v>
      </c>
      <c r="J111" s="6" t="n">
        <f aca="false">(Weights!$C$15*IF(Weights!$D$15=0,$E111,INDEX(Resources!$B$2:$F$10,MATCH(CHOOSE(Weights!$D$15,$B111,$C111,$D111),Resources!$A$2:$A$10,0),MATCH(Weights!$E$15,Resources!$B$1:$F$1,0)))+Weights!$F$15*IF(Weights!$G$15=0,$E111,INDEX(Resources!$B$2:$F$10,MATCH(CHOOSE(Weights!$G$15,$B111,$C111,$D111),Resources!$A$2:$A$10,0),MATCH(Weights!$H$15,Resources!$B$1:$F$1,0)))+Weights!$I$15*IF(Weights!$J$15=0,$E111,INDEX(Resources!$B$2:$F$10,MATCH(CHOOSE(Weights!$J$15,$B111,$C111,$D111),Resources!$A$2:$A$10,0),MATCH(Weights!$K$15,Resources!$B$1:$F$1,0))))/10</f>
        <v>46.8</v>
      </c>
      <c r="K111" s="3" t="str">
        <f aca="false">IF(J111&lt;40,"Poor",IF(J111&lt;55,"Basic",IF(J111&lt;70,"Solid",IF(J111&lt;85,"Strong",IF(J111&lt;95,"Excellent","Exceptional")))))</f>
        <v>Basic</v>
      </c>
      <c r="L111" s="3" t="s">
        <v>50</v>
      </c>
      <c r="M111" s="6" t="n">
        <f aca="false">(Weights!$C$16*IF(Weights!$D$16=0,$E111,INDEX(Resources!$B$2:$F$10,MATCH(CHOOSE(Weights!$D$16,$B111,$C111,$D111),Resources!$A$2:$A$10,0),MATCH(Weights!$E$16,Resources!$B$1:$F$1,0)))+Weights!$F$16*IF(Weights!$G$16=0,$E111,INDEX(Resources!$B$2:$F$10,MATCH(CHOOSE(Weights!$G$16,$B111,$C111,$D111),Resources!$A$2:$A$10,0),MATCH(Weights!$H$16,Resources!$B$1:$F$1,0)))+Weights!$I$16*IF(Weights!$J$16=0,$E111,INDEX(Resources!$B$2:$F$10,MATCH(CHOOSE(Weights!$J$16,$B111,$C111,$D111),Resources!$A$2:$A$10,0),MATCH(Weights!$K$16,Resources!$B$1:$F$1,0))))/10</f>
        <v>44.3166666666667</v>
      </c>
      <c r="N111" s="3" t="str">
        <f aca="false">IF(M111&lt;40,"Poor",IF(M111&lt;55,"Basic",IF(M111&lt;70,"Solid",IF(M111&lt;85,"Strong",IF(M111&lt;95,"Excellent","Exceptional")))))</f>
        <v>Basic</v>
      </c>
      <c r="O111" s="6" t="n">
        <f aca="false">MIN(100,MAX(G111,J111,M111)*(1+0.05*3))</f>
        <v>63.3841666666667</v>
      </c>
      <c r="P111" s="3" t="str">
        <f aca="false">IF(O111&lt;40,"Poor",IF(O111&lt;55,"Basic",IF(O111&lt;70,"Solid",IF(O111&lt;85,"Strong",IF(O111&lt;95,"Excellent","Exceptional")))))</f>
        <v>Solid</v>
      </c>
    </row>
    <row r="112" customFormat="false" ht="15" hidden="false" customHeight="true" outlineLevel="0" collapsed="false">
      <c r="A112" s="3" t="s">
        <v>47</v>
      </c>
      <c r="B112" s="4" t="s">
        <v>7</v>
      </c>
      <c r="C112" s="4" t="s">
        <v>11</v>
      </c>
      <c r="D112" s="4" t="s">
        <v>18</v>
      </c>
      <c r="E112" s="3" t="n">
        <f aca="false">AVERAGE(INDEX(Resources!$B$2:$F$10,MATCH($B112,Resources!$A$2:$A$10,0),1),INDEX(Resources!$B$2:$F$10,MATCH($C112,Resources!$A$2:$A$10,0),1),INDEX(Resources!$B$2:$F$10,MATCH($D112,Resources!$A$2:$A$10,0),1))</f>
        <v>553.333333333333</v>
      </c>
      <c r="F112" s="3" t="s">
        <v>48</v>
      </c>
      <c r="G112" s="6" t="n">
        <f aca="false">(Weights!$C$14*IF(Weights!$D$14=0,$E112,INDEX(Resources!$B$2:$F$10,MATCH(CHOOSE(Weights!$D$14,$B112,$C112,$D112),Resources!$A$2:$A$10,0),MATCH(Weights!$E$14,Resources!$B$1:$F$1,0)))+Weights!$F$14*IF(Weights!$G$14=0,$E112,INDEX(Resources!$B$2:$F$10,MATCH(CHOOSE(Weights!$G$14,$B112,$C112,$D112),Resources!$A$2:$A$10,0),MATCH(Weights!$H$14,Resources!$B$1:$F$1,0)))+Weights!$I$14*IF(Weights!$J$14=0,$E112,INDEX(Resources!$B$2:$F$10,MATCH(CHOOSE(Weights!$J$14,$B112,$C112,$D112),Resources!$A$2:$A$10,0),MATCH(Weights!$K$14,Resources!$B$1:$F$1,0))))/10</f>
        <v>57.5666666666667</v>
      </c>
      <c r="H112" s="3" t="str">
        <f aca="false">IF(G112&lt;40,"Poor",IF(G112&lt;55,"Basic",IF(G112&lt;70,"Solid",IF(G112&lt;85,"Strong",IF(G112&lt;95,"Excellent","Exceptional")))))</f>
        <v>Solid</v>
      </c>
      <c r="I112" s="3" t="s">
        <v>49</v>
      </c>
      <c r="J112" s="6" t="n">
        <f aca="false">(Weights!$C$15*IF(Weights!$D$15=0,$E112,INDEX(Resources!$B$2:$F$10,MATCH(CHOOSE(Weights!$D$15,$B112,$C112,$D112),Resources!$A$2:$A$10,0),MATCH(Weights!$E$15,Resources!$B$1:$F$1,0)))+Weights!$F$15*IF(Weights!$G$15=0,$E112,INDEX(Resources!$B$2:$F$10,MATCH(CHOOSE(Weights!$G$15,$B112,$C112,$D112),Resources!$A$2:$A$10,0),MATCH(Weights!$H$15,Resources!$B$1:$F$1,0)))+Weights!$I$15*IF(Weights!$J$15=0,$E112,INDEX(Resources!$B$2:$F$10,MATCH(CHOOSE(Weights!$J$15,$B112,$C112,$D112),Resources!$A$2:$A$10,0),MATCH(Weights!$K$15,Resources!$B$1:$F$1,0))))/10</f>
        <v>61.8</v>
      </c>
      <c r="K112" s="3" t="str">
        <f aca="false">IF(J112&lt;40,"Poor",IF(J112&lt;55,"Basic",IF(J112&lt;70,"Solid",IF(J112&lt;85,"Strong",IF(J112&lt;95,"Excellent","Exceptional")))))</f>
        <v>Solid</v>
      </c>
      <c r="L112" s="3" t="s">
        <v>50</v>
      </c>
      <c r="M112" s="6" t="n">
        <f aca="false">(Weights!$C$16*IF(Weights!$D$16=0,$E112,INDEX(Resources!$B$2:$F$10,MATCH(CHOOSE(Weights!$D$16,$B112,$C112,$D112),Resources!$A$2:$A$10,0),MATCH(Weights!$E$16,Resources!$B$1:$F$1,0)))+Weights!$F$16*IF(Weights!$G$16=0,$E112,INDEX(Resources!$B$2:$F$10,MATCH(CHOOSE(Weights!$G$16,$B112,$C112,$D112),Resources!$A$2:$A$10,0),MATCH(Weights!$H$16,Resources!$B$1:$F$1,0)))+Weights!$I$16*IF(Weights!$J$16=0,$E112,INDEX(Resources!$B$2:$F$10,MATCH(CHOOSE(Weights!$J$16,$B112,$C112,$D112),Resources!$A$2:$A$10,0),MATCH(Weights!$K$16,Resources!$B$1:$F$1,0))))/10</f>
        <v>65.0666666666667</v>
      </c>
      <c r="N112" s="3" t="str">
        <f aca="false">IF(M112&lt;40,"Poor",IF(M112&lt;55,"Basic",IF(M112&lt;70,"Solid",IF(M112&lt;85,"Strong",IF(M112&lt;95,"Excellent","Exceptional")))))</f>
        <v>Solid</v>
      </c>
      <c r="O112" s="6" t="n">
        <f aca="false">MIN(100,MAX(G112,J112,M112)*(1+0.05*3))</f>
        <v>74.8266666666667</v>
      </c>
      <c r="P112" s="3" t="str">
        <f aca="false">IF(O112&lt;40,"Poor",IF(O112&lt;55,"Basic",IF(O112&lt;70,"Solid",IF(O112&lt;85,"Strong",IF(O112&lt;95,"Excellent","Exceptional")))))</f>
        <v>Strong</v>
      </c>
    </row>
    <row r="113" customFormat="false" ht="15" hidden="false" customHeight="true" outlineLevel="0" collapsed="false">
      <c r="A113" s="3" t="s">
        <v>47</v>
      </c>
      <c r="B113" s="4" t="s">
        <v>7</v>
      </c>
      <c r="C113" s="4" t="s">
        <v>13</v>
      </c>
      <c r="D113" s="4" t="s">
        <v>15</v>
      </c>
      <c r="E113" s="3" t="n">
        <f aca="false">AVERAGE(INDEX(Resources!$B$2:$F$10,MATCH($B113,Resources!$A$2:$A$10,0),1),INDEX(Resources!$B$2:$F$10,MATCH($C113,Resources!$A$2:$A$10,0),1),INDEX(Resources!$B$2:$F$10,MATCH($D113,Resources!$A$2:$A$10,0),1))</f>
        <v>673.333333333333</v>
      </c>
      <c r="F113" s="3" t="s">
        <v>48</v>
      </c>
      <c r="G113" s="6" t="n">
        <f aca="false">(Weights!$C$14*IF(Weights!$D$14=0,$E113,INDEX(Resources!$B$2:$F$10,MATCH(CHOOSE(Weights!$D$14,$B113,$C113,$D113),Resources!$A$2:$A$10,0),MATCH(Weights!$E$14,Resources!$B$1:$F$1,0)))+Weights!$F$14*IF(Weights!$G$14=0,$E113,INDEX(Resources!$B$2:$F$10,MATCH(CHOOSE(Weights!$G$14,$B113,$C113,$D113),Resources!$A$2:$A$10,0),MATCH(Weights!$H$14,Resources!$B$1:$F$1,0)))+Weights!$I$14*IF(Weights!$J$14=0,$E113,INDEX(Resources!$B$2:$F$10,MATCH(CHOOSE(Weights!$J$14,$B113,$C113,$D113),Resources!$A$2:$A$10,0),MATCH(Weights!$K$14,Resources!$B$1:$F$1,0))))/10</f>
        <v>61.7666666666667</v>
      </c>
      <c r="H113" s="3" t="str">
        <f aca="false">IF(G113&lt;40,"Poor",IF(G113&lt;55,"Basic",IF(G113&lt;70,"Solid",IF(G113&lt;85,"Strong",IF(G113&lt;95,"Excellent","Exceptional")))))</f>
        <v>Solid</v>
      </c>
      <c r="I113" s="3" t="s">
        <v>49</v>
      </c>
      <c r="J113" s="6" t="n">
        <f aca="false">(Weights!$C$15*IF(Weights!$D$15=0,$E113,INDEX(Resources!$B$2:$F$10,MATCH(CHOOSE(Weights!$D$15,$B113,$C113,$D113),Resources!$A$2:$A$10,0),MATCH(Weights!$E$15,Resources!$B$1:$F$1,0)))+Weights!$F$15*IF(Weights!$G$15=0,$E113,INDEX(Resources!$B$2:$F$10,MATCH(CHOOSE(Weights!$G$15,$B113,$C113,$D113),Resources!$A$2:$A$10,0),MATCH(Weights!$H$15,Resources!$B$1:$F$1,0)))+Weights!$I$15*IF(Weights!$J$15=0,$E113,INDEX(Resources!$B$2:$F$10,MATCH(CHOOSE(Weights!$J$15,$B113,$C113,$D113),Resources!$A$2:$A$10,0),MATCH(Weights!$K$15,Resources!$B$1:$F$1,0))))/10</f>
        <v>72.6</v>
      </c>
      <c r="K113" s="3" t="str">
        <f aca="false">IF(J113&lt;40,"Poor",IF(J113&lt;55,"Basic",IF(J113&lt;70,"Solid",IF(J113&lt;85,"Strong",IF(J113&lt;95,"Excellent","Exceptional")))))</f>
        <v>Strong</v>
      </c>
      <c r="L113" s="3" t="s">
        <v>50</v>
      </c>
      <c r="M113" s="6" t="n">
        <f aca="false">(Weights!$C$16*IF(Weights!$D$16=0,$E113,INDEX(Resources!$B$2:$F$10,MATCH(CHOOSE(Weights!$D$16,$B113,$C113,$D113),Resources!$A$2:$A$10,0),MATCH(Weights!$E$16,Resources!$B$1:$F$1,0)))+Weights!$F$16*IF(Weights!$G$16=0,$E113,INDEX(Resources!$B$2:$F$10,MATCH(CHOOSE(Weights!$G$16,$B113,$C113,$D113),Resources!$A$2:$A$10,0),MATCH(Weights!$H$16,Resources!$B$1:$F$1,0)))+Weights!$I$16*IF(Weights!$J$16=0,$E113,INDEX(Resources!$B$2:$F$10,MATCH(CHOOSE(Weights!$J$16,$B113,$C113,$D113),Resources!$A$2:$A$10,0),MATCH(Weights!$K$16,Resources!$B$1:$F$1,0))))/10</f>
        <v>71.9666666666667</v>
      </c>
      <c r="N113" s="3" t="str">
        <f aca="false">IF(M113&lt;40,"Poor",IF(M113&lt;55,"Basic",IF(M113&lt;70,"Solid",IF(M113&lt;85,"Strong",IF(M113&lt;95,"Excellent","Exceptional")))))</f>
        <v>Strong</v>
      </c>
      <c r="O113" s="6" t="n">
        <f aca="false">MIN(100,MAX(G113,J113,M113)*(1+0.05*3))</f>
        <v>83.49</v>
      </c>
      <c r="P113" s="3" t="str">
        <f aca="false">IF(O113&lt;40,"Poor",IF(O113&lt;55,"Basic",IF(O113&lt;70,"Solid",IF(O113&lt;85,"Strong",IF(O113&lt;95,"Excellent","Exceptional")))))</f>
        <v>Strong</v>
      </c>
    </row>
    <row r="114" customFormat="false" ht="15" hidden="false" customHeight="true" outlineLevel="0" collapsed="false">
      <c r="A114" s="3" t="s">
        <v>47</v>
      </c>
      <c r="B114" s="4" t="s">
        <v>7</v>
      </c>
      <c r="C114" s="4" t="s">
        <v>13</v>
      </c>
      <c r="D114" s="4" t="s">
        <v>17</v>
      </c>
      <c r="E114" s="3" t="n">
        <f aca="false">AVERAGE(INDEX(Resources!$B$2:$F$10,MATCH($B114,Resources!$A$2:$A$10,0),1),INDEX(Resources!$B$2:$F$10,MATCH($C114,Resources!$A$2:$A$10,0),1),INDEX(Resources!$B$2:$F$10,MATCH($D114,Resources!$A$2:$A$10,0),1))</f>
        <v>643.333333333333</v>
      </c>
      <c r="F114" s="3" t="s">
        <v>48</v>
      </c>
      <c r="G114" s="6" t="n">
        <f aca="false">(Weights!$C$14*IF(Weights!$D$14=0,$E114,INDEX(Resources!$B$2:$F$10,MATCH(CHOOSE(Weights!$D$14,$B114,$C114,$D114),Resources!$A$2:$A$10,0),MATCH(Weights!$E$14,Resources!$B$1:$F$1,0)))+Weights!$F$14*IF(Weights!$G$14=0,$E114,INDEX(Resources!$B$2:$F$10,MATCH(CHOOSE(Weights!$G$14,$B114,$C114,$D114),Resources!$A$2:$A$10,0),MATCH(Weights!$H$14,Resources!$B$1:$F$1,0)))+Weights!$I$14*IF(Weights!$J$14=0,$E114,INDEX(Resources!$B$2:$F$10,MATCH(CHOOSE(Weights!$J$14,$B114,$C114,$D114),Resources!$A$2:$A$10,0),MATCH(Weights!$K$14,Resources!$B$1:$F$1,0))))/10</f>
        <v>60.7166666666667</v>
      </c>
      <c r="H114" s="3" t="str">
        <f aca="false">IF(G114&lt;40,"Poor",IF(G114&lt;55,"Basic",IF(G114&lt;70,"Solid",IF(G114&lt;85,"Strong",IF(G114&lt;95,"Excellent","Exceptional")))))</f>
        <v>Solid</v>
      </c>
      <c r="I114" s="3" t="s">
        <v>49</v>
      </c>
      <c r="J114" s="6" t="n">
        <f aca="false">(Weights!$C$15*IF(Weights!$D$15=0,$E114,INDEX(Resources!$B$2:$F$10,MATCH(CHOOSE(Weights!$D$15,$B114,$C114,$D114),Resources!$A$2:$A$10,0),MATCH(Weights!$E$15,Resources!$B$1:$F$1,0)))+Weights!$F$15*IF(Weights!$G$15=0,$E114,INDEX(Resources!$B$2:$F$10,MATCH(CHOOSE(Weights!$G$15,$B114,$C114,$D114),Resources!$A$2:$A$10,0),MATCH(Weights!$H$15,Resources!$B$1:$F$1,0)))+Weights!$I$15*IF(Weights!$J$15=0,$E114,INDEX(Resources!$B$2:$F$10,MATCH(CHOOSE(Weights!$J$15,$B114,$C114,$D114),Resources!$A$2:$A$10,0),MATCH(Weights!$K$15,Resources!$B$1:$F$1,0))))/10</f>
        <v>51.6</v>
      </c>
      <c r="K114" s="3" t="str">
        <f aca="false">IF(J114&lt;40,"Poor",IF(J114&lt;55,"Basic",IF(J114&lt;70,"Solid",IF(J114&lt;85,"Strong",IF(J114&lt;95,"Excellent","Exceptional")))))</f>
        <v>Basic</v>
      </c>
      <c r="L114" s="3" t="s">
        <v>50</v>
      </c>
      <c r="M114" s="6" t="n">
        <f aca="false">(Weights!$C$16*IF(Weights!$D$16=0,$E114,INDEX(Resources!$B$2:$F$10,MATCH(CHOOSE(Weights!$D$16,$B114,$C114,$D114),Resources!$A$2:$A$10,0),MATCH(Weights!$E$16,Resources!$B$1:$F$1,0)))+Weights!$F$16*IF(Weights!$G$16=0,$E114,INDEX(Resources!$B$2:$F$10,MATCH(CHOOSE(Weights!$G$16,$B114,$C114,$D114),Resources!$A$2:$A$10,0),MATCH(Weights!$H$16,Resources!$B$1:$F$1,0)))+Weights!$I$16*IF(Weights!$J$16=0,$E114,INDEX(Resources!$B$2:$F$10,MATCH(CHOOSE(Weights!$J$16,$B114,$C114,$D114),Resources!$A$2:$A$10,0),MATCH(Weights!$K$16,Resources!$B$1:$F$1,0))))/10</f>
        <v>41.2166666666667</v>
      </c>
      <c r="N114" s="3" t="str">
        <f aca="false">IF(M114&lt;40,"Poor",IF(M114&lt;55,"Basic",IF(M114&lt;70,"Solid",IF(M114&lt;85,"Strong",IF(M114&lt;95,"Excellent","Exceptional")))))</f>
        <v>Basic</v>
      </c>
      <c r="O114" s="6" t="n">
        <f aca="false">MIN(100,MAX(G114,J114,M114)*(1+0.05*3))</f>
        <v>69.8241666666667</v>
      </c>
      <c r="P114" s="3" t="str">
        <f aca="false">IF(O114&lt;40,"Poor",IF(O114&lt;55,"Basic",IF(O114&lt;70,"Solid",IF(O114&lt;85,"Strong",IF(O114&lt;95,"Excellent","Exceptional")))))</f>
        <v>Solid</v>
      </c>
    </row>
    <row r="115" customFormat="false" ht="15" hidden="false" customHeight="true" outlineLevel="0" collapsed="false">
      <c r="A115" s="3" t="s">
        <v>47</v>
      </c>
      <c r="B115" s="4" t="s">
        <v>7</v>
      </c>
      <c r="C115" s="4" t="s">
        <v>13</v>
      </c>
      <c r="D115" s="4" t="s">
        <v>18</v>
      </c>
      <c r="E115" s="3" t="n">
        <f aca="false">AVERAGE(INDEX(Resources!$B$2:$F$10,MATCH($B115,Resources!$A$2:$A$10,0),1),INDEX(Resources!$B$2:$F$10,MATCH($C115,Resources!$A$2:$A$10,0),1),INDEX(Resources!$B$2:$F$10,MATCH($D115,Resources!$A$2:$A$10,0),1))</f>
        <v>713.333333333333</v>
      </c>
      <c r="F115" s="3" t="s">
        <v>48</v>
      </c>
      <c r="G115" s="6" t="n">
        <f aca="false">(Weights!$C$14*IF(Weights!$D$14=0,$E115,INDEX(Resources!$B$2:$F$10,MATCH(CHOOSE(Weights!$D$14,$B115,$C115,$D115),Resources!$A$2:$A$10,0),MATCH(Weights!$E$14,Resources!$B$1:$F$1,0)))+Weights!$F$14*IF(Weights!$G$14=0,$E115,INDEX(Resources!$B$2:$F$10,MATCH(CHOOSE(Weights!$G$14,$B115,$C115,$D115),Resources!$A$2:$A$10,0),MATCH(Weights!$H$14,Resources!$B$1:$F$1,0)))+Weights!$I$14*IF(Weights!$J$14=0,$E115,INDEX(Resources!$B$2:$F$10,MATCH(CHOOSE(Weights!$J$14,$B115,$C115,$D115),Resources!$A$2:$A$10,0),MATCH(Weights!$K$14,Resources!$B$1:$F$1,0))))/10</f>
        <v>63.1666666666667</v>
      </c>
      <c r="H115" s="3" t="str">
        <f aca="false">IF(G115&lt;40,"Poor",IF(G115&lt;55,"Basic",IF(G115&lt;70,"Solid",IF(G115&lt;85,"Strong",IF(G115&lt;95,"Excellent","Exceptional")))))</f>
        <v>Solid</v>
      </c>
      <c r="I115" s="3" t="s">
        <v>49</v>
      </c>
      <c r="J115" s="6" t="n">
        <f aca="false">(Weights!$C$15*IF(Weights!$D$15=0,$E115,INDEX(Resources!$B$2:$F$10,MATCH(CHOOSE(Weights!$D$15,$B115,$C115,$D115),Resources!$A$2:$A$10,0),MATCH(Weights!$E$15,Resources!$B$1:$F$1,0)))+Weights!$F$15*IF(Weights!$G$15=0,$E115,INDEX(Resources!$B$2:$F$10,MATCH(CHOOSE(Weights!$G$15,$B115,$C115,$D115),Resources!$A$2:$A$10,0),MATCH(Weights!$H$15,Resources!$B$1:$F$1,0)))+Weights!$I$15*IF(Weights!$J$15=0,$E115,INDEX(Resources!$B$2:$F$10,MATCH(CHOOSE(Weights!$J$15,$B115,$C115,$D115),Resources!$A$2:$A$10,0),MATCH(Weights!$K$15,Resources!$B$1:$F$1,0))))/10</f>
        <v>66.6</v>
      </c>
      <c r="K115" s="3" t="str">
        <f aca="false">IF(J115&lt;40,"Poor",IF(J115&lt;55,"Basic",IF(J115&lt;70,"Solid",IF(J115&lt;85,"Strong",IF(J115&lt;95,"Excellent","Exceptional")))))</f>
        <v>Solid</v>
      </c>
      <c r="L115" s="3" t="s">
        <v>50</v>
      </c>
      <c r="M115" s="6" t="n">
        <f aca="false">(Weights!$C$16*IF(Weights!$D$16=0,$E115,INDEX(Resources!$B$2:$F$10,MATCH(CHOOSE(Weights!$D$16,$B115,$C115,$D115),Resources!$A$2:$A$10,0),MATCH(Weights!$E$16,Resources!$B$1:$F$1,0)))+Weights!$F$16*IF(Weights!$G$16=0,$E115,INDEX(Resources!$B$2:$F$10,MATCH(CHOOSE(Weights!$G$16,$B115,$C115,$D115),Resources!$A$2:$A$10,0),MATCH(Weights!$H$16,Resources!$B$1:$F$1,0)))+Weights!$I$16*IF(Weights!$J$16=0,$E115,INDEX(Resources!$B$2:$F$10,MATCH(CHOOSE(Weights!$J$16,$B115,$C115,$D115),Resources!$A$2:$A$10,0),MATCH(Weights!$K$16,Resources!$B$1:$F$1,0))))/10</f>
        <v>61.9666666666667</v>
      </c>
      <c r="N115" s="3" t="str">
        <f aca="false">IF(M115&lt;40,"Poor",IF(M115&lt;55,"Basic",IF(M115&lt;70,"Solid",IF(M115&lt;85,"Strong",IF(M115&lt;95,"Excellent","Exceptional")))))</f>
        <v>Solid</v>
      </c>
      <c r="O115" s="6" t="n">
        <f aca="false">MIN(100,MAX(G115,J115,M115)*(1+0.05*3))</f>
        <v>76.59</v>
      </c>
      <c r="P115" s="3" t="str">
        <f aca="false">IF(O115&lt;40,"Poor",IF(O115&lt;55,"Basic",IF(O115&lt;70,"Solid",IF(O115&lt;85,"Strong",IF(O115&lt;95,"Excellent","Exceptional")))))</f>
        <v>Strong</v>
      </c>
    </row>
    <row r="116" customFormat="false" ht="15" hidden="false" customHeight="true" outlineLevel="0" collapsed="false">
      <c r="A116" s="3" t="s">
        <v>47</v>
      </c>
      <c r="B116" s="4" t="s">
        <v>7</v>
      </c>
      <c r="C116" s="4" t="s">
        <v>14</v>
      </c>
      <c r="D116" s="4" t="s">
        <v>15</v>
      </c>
      <c r="E116" s="3" t="n">
        <f aca="false">AVERAGE(INDEX(Resources!$B$2:$F$10,MATCH($B116,Resources!$A$2:$A$10,0),1),INDEX(Resources!$B$2:$F$10,MATCH($C116,Resources!$A$2:$A$10,0),1),INDEX(Resources!$B$2:$F$10,MATCH($D116,Resources!$A$2:$A$10,0),1))</f>
        <v>586.666666666667</v>
      </c>
      <c r="F116" s="3" t="s">
        <v>48</v>
      </c>
      <c r="G116" s="6" t="n">
        <f aca="false">(Weights!$C$14*IF(Weights!$D$14=0,$E116,INDEX(Resources!$B$2:$F$10,MATCH(CHOOSE(Weights!$D$14,$B116,$C116,$D116),Resources!$A$2:$A$10,0),MATCH(Weights!$E$14,Resources!$B$1:$F$1,0)))+Weights!$F$14*IF(Weights!$G$14=0,$E116,INDEX(Resources!$B$2:$F$10,MATCH(CHOOSE(Weights!$G$14,$B116,$C116,$D116),Resources!$A$2:$A$10,0),MATCH(Weights!$H$14,Resources!$B$1:$F$1,0)))+Weights!$I$14*IF(Weights!$J$14=0,$E116,INDEX(Resources!$B$2:$F$10,MATCH(CHOOSE(Weights!$J$14,$B116,$C116,$D116),Resources!$A$2:$A$10,0),MATCH(Weights!$K$14,Resources!$B$1:$F$1,0))))/10</f>
        <v>58.7333333333333</v>
      </c>
      <c r="H116" s="3" t="str">
        <f aca="false">IF(G116&lt;40,"Poor",IF(G116&lt;55,"Basic",IF(G116&lt;70,"Solid",IF(G116&lt;85,"Strong",IF(G116&lt;95,"Excellent","Exceptional")))))</f>
        <v>Solid</v>
      </c>
      <c r="I116" s="3" t="s">
        <v>49</v>
      </c>
      <c r="J116" s="6" t="n">
        <f aca="false">(Weights!$C$15*IF(Weights!$D$15=0,$E116,INDEX(Resources!$B$2:$F$10,MATCH(CHOOSE(Weights!$D$15,$B116,$C116,$D116),Resources!$A$2:$A$10,0),MATCH(Weights!$E$15,Resources!$B$1:$F$1,0)))+Weights!$F$15*IF(Weights!$G$15=0,$E116,INDEX(Resources!$B$2:$F$10,MATCH(CHOOSE(Weights!$G$15,$B116,$C116,$D116),Resources!$A$2:$A$10,0),MATCH(Weights!$H$15,Resources!$B$1:$F$1,0)))+Weights!$I$15*IF(Weights!$J$15=0,$E116,INDEX(Resources!$B$2:$F$10,MATCH(CHOOSE(Weights!$J$15,$B116,$C116,$D116),Resources!$A$2:$A$10,0),MATCH(Weights!$K$15,Resources!$B$1:$F$1,0))))/10</f>
        <v>70</v>
      </c>
      <c r="K116" s="3" t="str">
        <f aca="false">IF(J116&lt;40,"Poor",IF(J116&lt;55,"Basic",IF(J116&lt;70,"Solid",IF(J116&lt;85,"Strong",IF(J116&lt;95,"Excellent","Exceptional")))))</f>
        <v>Strong</v>
      </c>
      <c r="L116" s="3" t="s">
        <v>50</v>
      </c>
      <c r="M116" s="6" t="n">
        <f aca="false">(Weights!$C$16*IF(Weights!$D$16=0,$E116,INDEX(Resources!$B$2:$F$10,MATCH(CHOOSE(Weights!$D$16,$B116,$C116,$D116),Resources!$A$2:$A$10,0),MATCH(Weights!$E$16,Resources!$B$1:$F$1,0)))+Weights!$F$16*IF(Weights!$G$16=0,$E116,INDEX(Resources!$B$2:$F$10,MATCH(CHOOSE(Weights!$G$16,$B116,$C116,$D116),Resources!$A$2:$A$10,0),MATCH(Weights!$H$16,Resources!$B$1:$F$1,0)))+Weights!$I$16*IF(Weights!$J$16=0,$E116,INDEX(Resources!$B$2:$F$10,MATCH(CHOOSE(Weights!$J$16,$B116,$C116,$D116),Resources!$A$2:$A$10,0),MATCH(Weights!$K$16,Resources!$B$1:$F$1,0))))/10</f>
        <v>66.3833333333333</v>
      </c>
      <c r="N116" s="3" t="str">
        <f aca="false">IF(M116&lt;40,"Poor",IF(M116&lt;55,"Basic",IF(M116&lt;70,"Solid",IF(M116&lt;85,"Strong",IF(M116&lt;95,"Excellent","Exceptional")))))</f>
        <v>Solid</v>
      </c>
      <c r="O116" s="6" t="n">
        <f aca="false">MIN(100,MAX(G116,J116,M116)*(1+0.05*3))</f>
        <v>80.5</v>
      </c>
      <c r="P116" s="3" t="str">
        <f aca="false">IF(O116&lt;40,"Poor",IF(O116&lt;55,"Basic",IF(O116&lt;70,"Solid",IF(O116&lt;85,"Strong",IF(O116&lt;95,"Excellent","Exceptional")))))</f>
        <v>Strong</v>
      </c>
    </row>
    <row r="117" customFormat="false" ht="15" hidden="false" customHeight="true" outlineLevel="0" collapsed="false">
      <c r="A117" s="3" t="s">
        <v>47</v>
      </c>
      <c r="B117" s="4" t="s">
        <v>7</v>
      </c>
      <c r="C117" s="4" t="s">
        <v>14</v>
      </c>
      <c r="D117" s="4" t="s">
        <v>17</v>
      </c>
      <c r="E117" s="3" t="n">
        <f aca="false">AVERAGE(INDEX(Resources!$B$2:$F$10,MATCH($B117,Resources!$A$2:$A$10,0),1),INDEX(Resources!$B$2:$F$10,MATCH($C117,Resources!$A$2:$A$10,0),1),INDEX(Resources!$B$2:$F$10,MATCH($D117,Resources!$A$2:$A$10,0),1))</f>
        <v>556.666666666667</v>
      </c>
      <c r="F117" s="3" t="s">
        <v>48</v>
      </c>
      <c r="G117" s="6" t="n">
        <f aca="false">(Weights!$C$14*IF(Weights!$D$14=0,$E117,INDEX(Resources!$B$2:$F$10,MATCH(CHOOSE(Weights!$D$14,$B117,$C117,$D117),Resources!$A$2:$A$10,0),MATCH(Weights!$E$14,Resources!$B$1:$F$1,0)))+Weights!$F$14*IF(Weights!$G$14=0,$E117,INDEX(Resources!$B$2:$F$10,MATCH(CHOOSE(Weights!$G$14,$B117,$C117,$D117),Resources!$A$2:$A$10,0),MATCH(Weights!$H$14,Resources!$B$1:$F$1,0)))+Weights!$I$14*IF(Weights!$J$14=0,$E117,INDEX(Resources!$B$2:$F$10,MATCH(CHOOSE(Weights!$J$14,$B117,$C117,$D117),Resources!$A$2:$A$10,0),MATCH(Weights!$K$14,Resources!$B$1:$F$1,0))))/10</f>
        <v>57.6833333333333</v>
      </c>
      <c r="H117" s="3" t="str">
        <f aca="false">IF(G117&lt;40,"Poor",IF(G117&lt;55,"Basic",IF(G117&lt;70,"Solid",IF(G117&lt;85,"Strong",IF(G117&lt;95,"Excellent","Exceptional")))))</f>
        <v>Solid</v>
      </c>
      <c r="I117" s="3" t="s">
        <v>49</v>
      </c>
      <c r="J117" s="6" t="n">
        <f aca="false">(Weights!$C$15*IF(Weights!$D$15=0,$E117,INDEX(Resources!$B$2:$F$10,MATCH(CHOOSE(Weights!$D$15,$B117,$C117,$D117),Resources!$A$2:$A$10,0),MATCH(Weights!$E$15,Resources!$B$1:$F$1,0)))+Weights!$F$15*IF(Weights!$G$15=0,$E117,INDEX(Resources!$B$2:$F$10,MATCH(CHOOSE(Weights!$G$15,$B117,$C117,$D117),Resources!$A$2:$A$10,0),MATCH(Weights!$H$15,Resources!$B$1:$F$1,0)))+Weights!$I$15*IF(Weights!$J$15=0,$E117,INDEX(Resources!$B$2:$F$10,MATCH(CHOOSE(Weights!$J$15,$B117,$C117,$D117),Resources!$A$2:$A$10,0),MATCH(Weights!$K$15,Resources!$B$1:$F$1,0))))/10</f>
        <v>49</v>
      </c>
      <c r="K117" s="3" t="str">
        <f aca="false">IF(J117&lt;40,"Poor",IF(J117&lt;55,"Basic",IF(J117&lt;70,"Solid",IF(J117&lt;85,"Strong",IF(J117&lt;95,"Excellent","Exceptional")))))</f>
        <v>Basic</v>
      </c>
      <c r="L117" s="3" t="s">
        <v>50</v>
      </c>
      <c r="M117" s="6" t="n">
        <f aca="false">(Weights!$C$16*IF(Weights!$D$16=0,$E117,INDEX(Resources!$B$2:$F$10,MATCH(CHOOSE(Weights!$D$16,$B117,$C117,$D117),Resources!$A$2:$A$10,0),MATCH(Weights!$E$16,Resources!$B$1:$F$1,0)))+Weights!$F$16*IF(Weights!$G$16=0,$E117,INDEX(Resources!$B$2:$F$10,MATCH(CHOOSE(Weights!$G$16,$B117,$C117,$D117),Resources!$A$2:$A$10,0),MATCH(Weights!$H$16,Resources!$B$1:$F$1,0)))+Weights!$I$16*IF(Weights!$J$16=0,$E117,INDEX(Resources!$B$2:$F$10,MATCH(CHOOSE(Weights!$J$16,$B117,$C117,$D117),Resources!$A$2:$A$10,0),MATCH(Weights!$K$16,Resources!$B$1:$F$1,0))))/10</f>
        <v>35.6333333333333</v>
      </c>
      <c r="N117" s="3" t="str">
        <f aca="false">IF(M117&lt;40,"Poor",IF(M117&lt;55,"Basic",IF(M117&lt;70,"Solid",IF(M117&lt;85,"Strong",IF(M117&lt;95,"Excellent","Exceptional")))))</f>
        <v>Poor</v>
      </c>
      <c r="O117" s="6" t="n">
        <f aca="false">MIN(100,MAX(G117,J117,M117)*(1+0.05*3))</f>
        <v>66.3358333333333</v>
      </c>
      <c r="P117" s="3" t="str">
        <f aca="false">IF(O117&lt;40,"Poor",IF(O117&lt;55,"Basic",IF(O117&lt;70,"Solid",IF(O117&lt;85,"Strong",IF(O117&lt;95,"Excellent","Exceptional")))))</f>
        <v>Solid</v>
      </c>
    </row>
    <row r="118" customFormat="false" ht="15" hidden="false" customHeight="true" outlineLevel="0" collapsed="false">
      <c r="A118" s="3" t="s">
        <v>47</v>
      </c>
      <c r="B118" s="4" t="s">
        <v>7</v>
      </c>
      <c r="C118" s="4" t="s">
        <v>14</v>
      </c>
      <c r="D118" s="4" t="s">
        <v>18</v>
      </c>
      <c r="E118" s="3" t="n">
        <f aca="false">AVERAGE(INDEX(Resources!$B$2:$F$10,MATCH($B118,Resources!$A$2:$A$10,0),1),INDEX(Resources!$B$2:$F$10,MATCH($C118,Resources!$A$2:$A$10,0),1),INDEX(Resources!$B$2:$F$10,MATCH($D118,Resources!$A$2:$A$10,0),1))</f>
        <v>626.666666666667</v>
      </c>
      <c r="F118" s="3" t="s">
        <v>48</v>
      </c>
      <c r="G118" s="6" t="n">
        <f aca="false">(Weights!$C$14*IF(Weights!$D$14=0,$E118,INDEX(Resources!$B$2:$F$10,MATCH(CHOOSE(Weights!$D$14,$B118,$C118,$D118),Resources!$A$2:$A$10,0),MATCH(Weights!$E$14,Resources!$B$1:$F$1,0)))+Weights!$F$14*IF(Weights!$G$14=0,$E118,INDEX(Resources!$B$2:$F$10,MATCH(CHOOSE(Weights!$G$14,$B118,$C118,$D118),Resources!$A$2:$A$10,0),MATCH(Weights!$H$14,Resources!$B$1:$F$1,0)))+Weights!$I$14*IF(Weights!$J$14=0,$E118,INDEX(Resources!$B$2:$F$10,MATCH(CHOOSE(Weights!$J$14,$B118,$C118,$D118),Resources!$A$2:$A$10,0),MATCH(Weights!$K$14,Resources!$B$1:$F$1,0))))/10</f>
        <v>60.1333333333333</v>
      </c>
      <c r="H118" s="3" t="str">
        <f aca="false">IF(G118&lt;40,"Poor",IF(G118&lt;55,"Basic",IF(G118&lt;70,"Solid",IF(G118&lt;85,"Strong",IF(G118&lt;95,"Excellent","Exceptional")))))</f>
        <v>Solid</v>
      </c>
      <c r="I118" s="3" t="s">
        <v>49</v>
      </c>
      <c r="J118" s="6" t="n">
        <f aca="false">(Weights!$C$15*IF(Weights!$D$15=0,$E118,INDEX(Resources!$B$2:$F$10,MATCH(CHOOSE(Weights!$D$15,$B118,$C118,$D118),Resources!$A$2:$A$10,0),MATCH(Weights!$E$15,Resources!$B$1:$F$1,0)))+Weights!$F$15*IF(Weights!$G$15=0,$E118,INDEX(Resources!$B$2:$F$10,MATCH(CHOOSE(Weights!$G$15,$B118,$C118,$D118),Resources!$A$2:$A$10,0),MATCH(Weights!$H$15,Resources!$B$1:$F$1,0)))+Weights!$I$15*IF(Weights!$J$15=0,$E118,INDEX(Resources!$B$2:$F$10,MATCH(CHOOSE(Weights!$J$15,$B118,$C118,$D118),Resources!$A$2:$A$10,0),MATCH(Weights!$K$15,Resources!$B$1:$F$1,0))))/10</f>
        <v>64</v>
      </c>
      <c r="K118" s="3" t="str">
        <f aca="false">IF(J118&lt;40,"Poor",IF(J118&lt;55,"Basic",IF(J118&lt;70,"Solid",IF(J118&lt;85,"Strong",IF(J118&lt;95,"Excellent","Exceptional")))))</f>
        <v>Solid</v>
      </c>
      <c r="L118" s="3" t="s">
        <v>50</v>
      </c>
      <c r="M118" s="6" t="n">
        <f aca="false">(Weights!$C$16*IF(Weights!$D$16=0,$E118,INDEX(Resources!$B$2:$F$10,MATCH(CHOOSE(Weights!$D$16,$B118,$C118,$D118),Resources!$A$2:$A$10,0),MATCH(Weights!$E$16,Resources!$B$1:$F$1,0)))+Weights!$F$16*IF(Weights!$G$16=0,$E118,INDEX(Resources!$B$2:$F$10,MATCH(CHOOSE(Weights!$G$16,$B118,$C118,$D118),Resources!$A$2:$A$10,0),MATCH(Weights!$H$16,Resources!$B$1:$F$1,0)))+Weights!$I$16*IF(Weights!$J$16=0,$E118,INDEX(Resources!$B$2:$F$10,MATCH(CHOOSE(Weights!$J$16,$B118,$C118,$D118),Resources!$A$2:$A$10,0),MATCH(Weights!$K$16,Resources!$B$1:$F$1,0))))/10</f>
        <v>56.3833333333333</v>
      </c>
      <c r="N118" s="3" t="str">
        <f aca="false">IF(M118&lt;40,"Poor",IF(M118&lt;55,"Basic",IF(M118&lt;70,"Solid",IF(M118&lt;85,"Strong",IF(M118&lt;95,"Excellent","Exceptional")))))</f>
        <v>Solid</v>
      </c>
      <c r="O118" s="6" t="n">
        <f aca="false">MIN(100,MAX(G118,J118,M118)*(1+0.05*3))</f>
        <v>73.6</v>
      </c>
      <c r="P118" s="3" t="str">
        <f aca="false">IF(O118&lt;40,"Poor",IF(O118&lt;55,"Basic",IF(O118&lt;70,"Solid",IF(O118&lt;85,"Strong",IF(O118&lt;95,"Excellent","Exceptional")))))</f>
        <v>Strong</v>
      </c>
    </row>
    <row r="119" customFormat="false" ht="15" hidden="false" customHeight="true" outlineLevel="0" collapsed="false">
      <c r="A119" s="3" t="s">
        <v>47</v>
      </c>
      <c r="B119" s="4" t="s">
        <v>9</v>
      </c>
      <c r="C119" s="4" t="s">
        <v>11</v>
      </c>
      <c r="D119" s="4" t="s">
        <v>15</v>
      </c>
      <c r="E119" s="3" t="n">
        <f aca="false">AVERAGE(INDEX(Resources!$B$2:$F$10,MATCH($B119,Resources!$A$2:$A$10,0),1),INDEX(Resources!$B$2:$F$10,MATCH($C119,Resources!$A$2:$A$10,0),1),INDEX(Resources!$B$2:$F$10,MATCH($D119,Resources!$A$2:$A$10,0),1))</f>
        <v>570</v>
      </c>
      <c r="F119" s="3" t="s">
        <v>48</v>
      </c>
      <c r="G119" s="6" t="n">
        <f aca="false">(Weights!$C$14*IF(Weights!$D$14=0,$E119,INDEX(Resources!$B$2:$F$10,MATCH(CHOOSE(Weights!$D$14,$B119,$C119,$D119),Resources!$A$2:$A$10,0),MATCH(Weights!$E$14,Resources!$B$1:$F$1,0)))+Weights!$F$14*IF(Weights!$G$14=0,$E119,INDEX(Resources!$B$2:$F$10,MATCH(CHOOSE(Weights!$G$14,$B119,$C119,$D119),Resources!$A$2:$A$10,0),MATCH(Weights!$H$14,Resources!$B$1:$F$1,0)))+Weights!$I$14*IF(Weights!$J$14=0,$E119,INDEX(Resources!$B$2:$F$10,MATCH(CHOOSE(Weights!$J$14,$B119,$C119,$D119),Resources!$A$2:$A$10,0),MATCH(Weights!$K$14,Resources!$B$1:$F$1,0))))/10</f>
        <v>71.15</v>
      </c>
      <c r="H119" s="3" t="str">
        <f aca="false">IF(G119&lt;40,"Poor",IF(G119&lt;55,"Basic",IF(G119&lt;70,"Solid",IF(G119&lt;85,"Strong",IF(G119&lt;95,"Excellent","Exceptional")))))</f>
        <v>Strong</v>
      </c>
      <c r="I119" s="3" t="s">
        <v>49</v>
      </c>
      <c r="J119" s="6" t="n">
        <f aca="false">(Weights!$C$15*IF(Weights!$D$15=0,$E119,INDEX(Resources!$B$2:$F$10,MATCH(CHOOSE(Weights!$D$15,$B119,$C119,$D119),Resources!$A$2:$A$10,0),MATCH(Weights!$E$15,Resources!$B$1:$F$1,0)))+Weights!$F$15*IF(Weights!$G$15=0,$E119,INDEX(Resources!$B$2:$F$10,MATCH(CHOOSE(Weights!$G$15,$B119,$C119,$D119),Resources!$A$2:$A$10,0),MATCH(Weights!$H$15,Resources!$B$1:$F$1,0)))+Weights!$I$15*IF(Weights!$J$15=0,$E119,INDEX(Resources!$B$2:$F$10,MATCH(CHOOSE(Weights!$J$15,$B119,$C119,$D119),Resources!$A$2:$A$10,0),MATCH(Weights!$K$15,Resources!$B$1:$F$1,0))))/10</f>
        <v>77.5</v>
      </c>
      <c r="K119" s="3" t="str">
        <f aca="false">IF(J119&lt;40,"Poor",IF(J119&lt;55,"Basic",IF(J119&lt;70,"Solid",IF(J119&lt;85,"Strong",IF(J119&lt;95,"Excellent","Exceptional")))))</f>
        <v>Strong</v>
      </c>
      <c r="L119" s="3" t="s">
        <v>50</v>
      </c>
      <c r="M119" s="6" t="n">
        <f aca="false">(Weights!$C$16*IF(Weights!$D$16=0,$E119,INDEX(Resources!$B$2:$F$10,MATCH(CHOOSE(Weights!$D$16,$B119,$C119,$D119),Resources!$A$2:$A$10,0),MATCH(Weights!$E$16,Resources!$B$1:$F$1,0)))+Weights!$F$16*IF(Weights!$G$16=0,$E119,INDEX(Resources!$B$2:$F$10,MATCH(CHOOSE(Weights!$G$16,$B119,$C119,$D119),Resources!$A$2:$A$10,0),MATCH(Weights!$H$16,Resources!$B$1:$F$1,0)))+Weights!$I$16*IF(Weights!$J$16=0,$E119,INDEX(Resources!$B$2:$F$10,MATCH(CHOOSE(Weights!$J$16,$B119,$C119,$D119),Resources!$A$2:$A$10,0),MATCH(Weights!$K$16,Resources!$B$1:$F$1,0))))/10</f>
        <v>76.2</v>
      </c>
      <c r="N119" s="3" t="str">
        <f aca="false">IF(M119&lt;40,"Poor",IF(M119&lt;55,"Basic",IF(M119&lt;70,"Solid",IF(M119&lt;85,"Strong",IF(M119&lt;95,"Excellent","Exceptional")))))</f>
        <v>Strong</v>
      </c>
      <c r="O119" s="6" t="n">
        <f aca="false">MIN(100,MAX(G119,J119,M119)*(1+0.05*3))</f>
        <v>89.125</v>
      </c>
      <c r="P119" s="3" t="str">
        <f aca="false">IF(O119&lt;40,"Poor",IF(O119&lt;55,"Basic",IF(O119&lt;70,"Solid",IF(O119&lt;85,"Strong",IF(O119&lt;95,"Excellent","Exceptional")))))</f>
        <v>Excellent</v>
      </c>
    </row>
    <row r="120" customFormat="false" ht="15" hidden="false" customHeight="true" outlineLevel="0" collapsed="false">
      <c r="A120" s="3" t="s">
        <v>47</v>
      </c>
      <c r="B120" s="4" t="s">
        <v>9</v>
      </c>
      <c r="C120" s="4" t="s">
        <v>11</v>
      </c>
      <c r="D120" s="4" t="s">
        <v>17</v>
      </c>
      <c r="E120" s="3" t="n">
        <f aca="false">AVERAGE(INDEX(Resources!$B$2:$F$10,MATCH($B120,Resources!$A$2:$A$10,0),1),INDEX(Resources!$B$2:$F$10,MATCH($C120,Resources!$A$2:$A$10,0),1),INDEX(Resources!$B$2:$F$10,MATCH($D120,Resources!$A$2:$A$10,0),1))</f>
        <v>540</v>
      </c>
      <c r="F120" s="3" t="s">
        <v>48</v>
      </c>
      <c r="G120" s="6" t="n">
        <f aca="false">(Weights!$C$14*IF(Weights!$D$14=0,$E120,INDEX(Resources!$B$2:$F$10,MATCH(CHOOSE(Weights!$D$14,$B120,$C120,$D120),Resources!$A$2:$A$10,0),MATCH(Weights!$E$14,Resources!$B$1:$F$1,0)))+Weights!$F$14*IF(Weights!$G$14=0,$E120,INDEX(Resources!$B$2:$F$10,MATCH(CHOOSE(Weights!$G$14,$B120,$C120,$D120),Resources!$A$2:$A$10,0),MATCH(Weights!$H$14,Resources!$B$1:$F$1,0)))+Weights!$I$14*IF(Weights!$J$14=0,$E120,INDEX(Resources!$B$2:$F$10,MATCH(CHOOSE(Weights!$J$14,$B120,$C120,$D120),Resources!$A$2:$A$10,0),MATCH(Weights!$K$14,Resources!$B$1:$F$1,0))))/10</f>
        <v>70.1</v>
      </c>
      <c r="H120" s="3" t="str">
        <f aca="false">IF(G120&lt;40,"Poor",IF(G120&lt;55,"Basic",IF(G120&lt;70,"Solid",IF(G120&lt;85,"Strong",IF(G120&lt;95,"Excellent","Exceptional")))))</f>
        <v>Strong</v>
      </c>
      <c r="I120" s="3" t="s">
        <v>49</v>
      </c>
      <c r="J120" s="6" t="n">
        <f aca="false">(Weights!$C$15*IF(Weights!$D$15=0,$E120,INDEX(Resources!$B$2:$F$10,MATCH(CHOOSE(Weights!$D$15,$B120,$C120,$D120),Resources!$A$2:$A$10,0),MATCH(Weights!$E$15,Resources!$B$1:$F$1,0)))+Weights!$F$15*IF(Weights!$G$15=0,$E120,INDEX(Resources!$B$2:$F$10,MATCH(CHOOSE(Weights!$G$15,$B120,$C120,$D120),Resources!$A$2:$A$10,0),MATCH(Weights!$H$15,Resources!$B$1:$F$1,0)))+Weights!$I$15*IF(Weights!$J$15=0,$E120,INDEX(Resources!$B$2:$F$10,MATCH(CHOOSE(Weights!$J$15,$B120,$C120,$D120),Resources!$A$2:$A$10,0),MATCH(Weights!$K$15,Resources!$B$1:$F$1,0))))/10</f>
        <v>56.5</v>
      </c>
      <c r="K120" s="3" t="str">
        <f aca="false">IF(J120&lt;40,"Poor",IF(J120&lt;55,"Basic",IF(J120&lt;70,"Solid",IF(J120&lt;85,"Strong",IF(J120&lt;95,"Excellent","Exceptional")))))</f>
        <v>Solid</v>
      </c>
      <c r="L120" s="3" t="s">
        <v>50</v>
      </c>
      <c r="M120" s="6" t="n">
        <f aca="false">(Weights!$C$16*IF(Weights!$D$16=0,$E120,INDEX(Resources!$B$2:$F$10,MATCH(CHOOSE(Weights!$D$16,$B120,$C120,$D120),Resources!$A$2:$A$10,0),MATCH(Weights!$E$16,Resources!$B$1:$F$1,0)))+Weights!$F$16*IF(Weights!$G$16=0,$E120,INDEX(Resources!$B$2:$F$10,MATCH(CHOOSE(Weights!$G$16,$B120,$C120,$D120),Resources!$A$2:$A$10,0),MATCH(Weights!$H$16,Resources!$B$1:$F$1,0)))+Weights!$I$16*IF(Weights!$J$16=0,$E120,INDEX(Resources!$B$2:$F$10,MATCH(CHOOSE(Weights!$J$16,$B120,$C120,$D120),Resources!$A$2:$A$10,0),MATCH(Weights!$K$16,Resources!$B$1:$F$1,0))))/10</f>
        <v>45.45</v>
      </c>
      <c r="N120" s="3" t="str">
        <f aca="false">IF(M120&lt;40,"Poor",IF(M120&lt;55,"Basic",IF(M120&lt;70,"Solid",IF(M120&lt;85,"Strong",IF(M120&lt;95,"Excellent","Exceptional")))))</f>
        <v>Basic</v>
      </c>
      <c r="O120" s="6" t="n">
        <f aca="false">MIN(100,MAX(G120,J120,M120)*(1+0.05*3))</f>
        <v>80.615</v>
      </c>
      <c r="P120" s="3" t="str">
        <f aca="false">IF(O120&lt;40,"Poor",IF(O120&lt;55,"Basic",IF(O120&lt;70,"Solid",IF(O120&lt;85,"Strong",IF(O120&lt;95,"Excellent","Exceptional")))))</f>
        <v>Strong</v>
      </c>
    </row>
    <row r="121" customFormat="false" ht="15" hidden="false" customHeight="true" outlineLevel="0" collapsed="false">
      <c r="A121" s="3" t="s">
        <v>47</v>
      </c>
      <c r="B121" s="4" t="s">
        <v>9</v>
      </c>
      <c r="C121" s="4" t="s">
        <v>11</v>
      </c>
      <c r="D121" s="4" t="s">
        <v>18</v>
      </c>
      <c r="E121" s="3" t="n">
        <f aca="false">AVERAGE(INDEX(Resources!$B$2:$F$10,MATCH($B121,Resources!$A$2:$A$10,0),1),INDEX(Resources!$B$2:$F$10,MATCH($C121,Resources!$A$2:$A$10,0),1),INDEX(Resources!$B$2:$F$10,MATCH($D121,Resources!$A$2:$A$10,0),1))</f>
        <v>610</v>
      </c>
      <c r="F121" s="3" t="s">
        <v>48</v>
      </c>
      <c r="G121" s="6" t="n">
        <f aca="false">(Weights!$C$14*IF(Weights!$D$14=0,$E121,INDEX(Resources!$B$2:$F$10,MATCH(CHOOSE(Weights!$D$14,$B121,$C121,$D121),Resources!$A$2:$A$10,0),MATCH(Weights!$E$14,Resources!$B$1:$F$1,0)))+Weights!$F$14*IF(Weights!$G$14=0,$E121,INDEX(Resources!$B$2:$F$10,MATCH(CHOOSE(Weights!$G$14,$B121,$C121,$D121),Resources!$A$2:$A$10,0),MATCH(Weights!$H$14,Resources!$B$1:$F$1,0)))+Weights!$I$14*IF(Weights!$J$14=0,$E121,INDEX(Resources!$B$2:$F$10,MATCH(CHOOSE(Weights!$J$14,$B121,$C121,$D121),Resources!$A$2:$A$10,0),MATCH(Weights!$K$14,Resources!$B$1:$F$1,0))))/10</f>
        <v>72.55</v>
      </c>
      <c r="H121" s="3" t="str">
        <f aca="false">IF(G121&lt;40,"Poor",IF(G121&lt;55,"Basic",IF(G121&lt;70,"Solid",IF(G121&lt;85,"Strong",IF(G121&lt;95,"Excellent","Exceptional")))))</f>
        <v>Strong</v>
      </c>
      <c r="I121" s="3" t="s">
        <v>49</v>
      </c>
      <c r="J121" s="6" t="n">
        <f aca="false">(Weights!$C$15*IF(Weights!$D$15=0,$E121,INDEX(Resources!$B$2:$F$10,MATCH(CHOOSE(Weights!$D$15,$B121,$C121,$D121),Resources!$A$2:$A$10,0),MATCH(Weights!$E$15,Resources!$B$1:$F$1,0)))+Weights!$F$15*IF(Weights!$G$15=0,$E121,INDEX(Resources!$B$2:$F$10,MATCH(CHOOSE(Weights!$G$15,$B121,$C121,$D121),Resources!$A$2:$A$10,0),MATCH(Weights!$H$15,Resources!$B$1:$F$1,0)))+Weights!$I$15*IF(Weights!$J$15=0,$E121,INDEX(Resources!$B$2:$F$10,MATCH(CHOOSE(Weights!$J$15,$B121,$C121,$D121),Resources!$A$2:$A$10,0),MATCH(Weights!$K$15,Resources!$B$1:$F$1,0))))/10</f>
        <v>71.5</v>
      </c>
      <c r="K121" s="3" t="str">
        <f aca="false">IF(J121&lt;40,"Poor",IF(J121&lt;55,"Basic",IF(J121&lt;70,"Solid",IF(J121&lt;85,"Strong",IF(J121&lt;95,"Excellent","Exceptional")))))</f>
        <v>Strong</v>
      </c>
      <c r="L121" s="3" t="s">
        <v>50</v>
      </c>
      <c r="M121" s="6" t="n">
        <f aca="false">(Weights!$C$16*IF(Weights!$D$16=0,$E121,INDEX(Resources!$B$2:$F$10,MATCH(CHOOSE(Weights!$D$16,$B121,$C121,$D121),Resources!$A$2:$A$10,0),MATCH(Weights!$E$16,Resources!$B$1:$F$1,0)))+Weights!$F$16*IF(Weights!$G$16=0,$E121,INDEX(Resources!$B$2:$F$10,MATCH(CHOOSE(Weights!$G$16,$B121,$C121,$D121),Resources!$A$2:$A$10,0),MATCH(Weights!$H$16,Resources!$B$1:$F$1,0)))+Weights!$I$16*IF(Weights!$J$16=0,$E121,INDEX(Resources!$B$2:$F$10,MATCH(CHOOSE(Weights!$J$16,$B121,$C121,$D121),Resources!$A$2:$A$10,0),MATCH(Weights!$K$16,Resources!$B$1:$F$1,0))))/10</f>
        <v>66.2</v>
      </c>
      <c r="N121" s="3" t="str">
        <f aca="false">IF(M121&lt;40,"Poor",IF(M121&lt;55,"Basic",IF(M121&lt;70,"Solid",IF(M121&lt;85,"Strong",IF(M121&lt;95,"Excellent","Exceptional")))))</f>
        <v>Solid</v>
      </c>
      <c r="O121" s="6" t="n">
        <f aca="false">MIN(100,MAX(G121,J121,M121)*(1+0.05*3))</f>
        <v>83.4325</v>
      </c>
      <c r="P121" s="3" t="str">
        <f aca="false">IF(O121&lt;40,"Poor",IF(O121&lt;55,"Basic",IF(O121&lt;70,"Solid",IF(O121&lt;85,"Strong",IF(O121&lt;95,"Excellent","Exceptional")))))</f>
        <v>Strong</v>
      </c>
    </row>
    <row r="122" customFormat="false" ht="15" hidden="false" customHeight="true" outlineLevel="0" collapsed="false">
      <c r="A122" s="3" t="s">
        <v>47</v>
      </c>
      <c r="B122" s="4" t="s">
        <v>9</v>
      </c>
      <c r="C122" s="4" t="s">
        <v>13</v>
      </c>
      <c r="D122" s="4" t="s">
        <v>15</v>
      </c>
      <c r="E122" s="3" t="n">
        <f aca="false">AVERAGE(INDEX(Resources!$B$2:$F$10,MATCH($B122,Resources!$A$2:$A$10,0),1),INDEX(Resources!$B$2:$F$10,MATCH($C122,Resources!$A$2:$A$10,0),1),INDEX(Resources!$B$2:$F$10,MATCH($D122,Resources!$A$2:$A$10,0),1))</f>
        <v>730</v>
      </c>
      <c r="F122" s="3" t="s">
        <v>48</v>
      </c>
      <c r="G122" s="6" t="n">
        <f aca="false">(Weights!$C$14*IF(Weights!$D$14=0,$E122,INDEX(Resources!$B$2:$F$10,MATCH(CHOOSE(Weights!$D$14,$B122,$C122,$D122),Resources!$A$2:$A$10,0),MATCH(Weights!$E$14,Resources!$B$1:$F$1,0)))+Weights!$F$14*IF(Weights!$G$14=0,$E122,INDEX(Resources!$B$2:$F$10,MATCH(CHOOSE(Weights!$G$14,$B122,$C122,$D122),Resources!$A$2:$A$10,0),MATCH(Weights!$H$14,Resources!$B$1:$F$1,0)))+Weights!$I$14*IF(Weights!$J$14=0,$E122,INDEX(Resources!$B$2:$F$10,MATCH(CHOOSE(Weights!$J$14,$B122,$C122,$D122),Resources!$A$2:$A$10,0),MATCH(Weights!$K$14,Resources!$B$1:$F$1,0))))/10</f>
        <v>76.75</v>
      </c>
      <c r="H122" s="3" t="str">
        <f aca="false">IF(G122&lt;40,"Poor",IF(G122&lt;55,"Basic",IF(G122&lt;70,"Solid",IF(G122&lt;85,"Strong",IF(G122&lt;95,"Excellent","Exceptional")))))</f>
        <v>Strong</v>
      </c>
      <c r="I122" s="3" t="s">
        <v>49</v>
      </c>
      <c r="J122" s="6" t="n">
        <f aca="false">(Weights!$C$15*IF(Weights!$D$15=0,$E122,INDEX(Resources!$B$2:$F$10,MATCH(CHOOSE(Weights!$D$15,$B122,$C122,$D122),Resources!$A$2:$A$10,0),MATCH(Weights!$E$15,Resources!$B$1:$F$1,0)))+Weights!$F$15*IF(Weights!$G$15=0,$E122,INDEX(Resources!$B$2:$F$10,MATCH(CHOOSE(Weights!$G$15,$B122,$C122,$D122),Resources!$A$2:$A$10,0),MATCH(Weights!$H$15,Resources!$B$1:$F$1,0)))+Weights!$I$15*IF(Weights!$J$15=0,$E122,INDEX(Resources!$B$2:$F$10,MATCH(CHOOSE(Weights!$J$15,$B122,$C122,$D122),Resources!$A$2:$A$10,0),MATCH(Weights!$K$15,Resources!$B$1:$F$1,0))))/10</f>
        <v>82.3</v>
      </c>
      <c r="K122" s="3" t="str">
        <f aca="false">IF(J122&lt;40,"Poor",IF(J122&lt;55,"Basic",IF(J122&lt;70,"Solid",IF(J122&lt;85,"Strong",IF(J122&lt;95,"Excellent","Exceptional")))))</f>
        <v>Strong</v>
      </c>
      <c r="L122" s="3" t="s">
        <v>50</v>
      </c>
      <c r="M122" s="6" t="n">
        <f aca="false">(Weights!$C$16*IF(Weights!$D$16=0,$E122,INDEX(Resources!$B$2:$F$10,MATCH(CHOOSE(Weights!$D$16,$B122,$C122,$D122),Resources!$A$2:$A$10,0),MATCH(Weights!$E$16,Resources!$B$1:$F$1,0)))+Weights!$F$16*IF(Weights!$G$16=0,$E122,INDEX(Resources!$B$2:$F$10,MATCH(CHOOSE(Weights!$G$16,$B122,$C122,$D122),Resources!$A$2:$A$10,0),MATCH(Weights!$H$16,Resources!$B$1:$F$1,0)))+Weights!$I$16*IF(Weights!$J$16=0,$E122,INDEX(Resources!$B$2:$F$10,MATCH(CHOOSE(Weights!$J$16,$B122,$C122,$D122),Resources!$A$2:$A$10,0),MATCH(Weights!$K$16,Resources!$B$1:$F$1,0))))/10</f>
        <v>73.1</v>
      </c>
      <c r="N122" s="3" t="str">
        <f aca="false">IF(M122&lt;40,"Poor",IF(M122&lt;55,"Basic",IF(M122&lt;70,"Solid",IF(M122&lt;85,"Strong",IF(M122&lt;95,"Excellent","Exceptional")))))</f>
        <v>Strong</v>
      </c>
      <c r="O122" s="6" t="n">
        <f aca="false">MIN(100,MAX(G122,J122,M122)*(1+0.05*3))</f>
        <v>94.645</v>
      </c>
      <c r="P122" s="3" t="str">
        <f aca="false">IF(O122&lt;40,"Poor",IF(O122&lt;55,"Basic",IF(O122&lt;70,"Solid",IF(O122&lt;85,"Strong",IF(O122&lt;95,"Excellent","Exceptional")))))</f>
        <v>Excellent</v>
      </c>
    </row>
    <row r="123" customFormat="false" ht="15" hidden="false" customHeight="true" outlineLevel="0" collapsed="false">
      <c r="A123" s="3" t="s">
        <v>47</v>
      </c>
      <c r="B123" s="4" t="s">
        <v>9</v>
      </c>
      <c r="C123" s="4" t="s">
        <v>13</v>
      </c>
      <c r="D123" s="4" t="s">
        <v>17</v>
      </c>
      <c r="E123" s="3" t="n">
        <f aca="false">AVERAGE(INDEX(Resources!$B$2:$F$10,MATCH($B123,Resources!$A$2:$A$10,0),1),INDEX(Resources!$B$2:$F$10,MATCH($C123,Resources!$A$2:$A$10,0),1),INDEX(Resources!$B$2:$F$10,MATCH($D123,Resources!$A$2:$A$10,0),1))</f>
        <v>700</v>
      </c>
      <c r="F123" s="3" t="s">
        <v>48</v>
      </c>
      <c r="G123" s="6" t="n">
        <f aca="false">(Weights!$C$14*IF(Weights!$D$14=0,$E123,INDEX(Resources!$B$2:$F$10,MATCH(CHOOSE(Weights!$D$14,$B123,$C123,$D123),Resources!$A$2:$A$10,0),MATCH(Weights!$E$14,Resources!$B$1:$F$1,0)))+Weights!$F$14*IF(Weights!$G$14=0,$E123,INDEX(Resources!$B$2:$F$10,MATCH(CHOOSE(Weights!$G$14,$B123,$C123,$D123),Resources!$A$2:$A$10,0),MATCH(Weights!$H$14,Resources!$B$1:$F$1,0)))+Weights!$I$14*IF(Weights!$J$14=0,$E123,INDEX(Resources!$B$2:$F$10,MATCH(CHOOSE(Weights!$J$14,$B123,$C123,$D123),Resources!$A$2:$A$10,0),MATCH(Weights!$K$14,Resources!$B$1:$F$1,0))))/10</f>
        <v>75.7</v>
      </c>
      <c r="H123" s="3" t="str">
        <f aca="false">IF(G123&lt;40,"Poor",IF(G123&lt;55,"Basic",IF(G123&lt;70,"Solid",IF(G123&lt;85,"Strong",IF(G123&lt;95,"Excellent","Exceptional")))))</f>
        <v>Strong</v>
      </c>
      <c r="I123" s="3" t="s">
        <v>49</v>
      </c>
      <c r="J123" s="6" t="n">
        <f aca="false">(Weights!$C$15*IF(Weights!$D$15=0,$E123,INDEX(Resources!$B$2:$F$10,MATCH(CHOOSE(Weights!$D$15,$B123,$C123,$D123),Resources!$A$2:$A$10,0),MATCH(Weights!$E$15,Resources!$B$1:$F$1,0)))+Weights!$F$15*IF(Weights!$G$15=0,$E123,INDEX(Resources!$B$2:$F$10,MATCH(CHOOSE(Weights!$G$15,$B123,$C123,$D123),Resources!$A$2:$A$10,0),MATCH(Weights!$H$15,Resources!$B$1:$F$1,0)))+Weights!$I$15*IF(Weights!$J$15=0,$E123,INDEX(Resources!$B$2:$F$10,MATCH(CHOOSE(Weights!$J$15,$B123,$C123,$D123),Resources!$A$2:$A$10,0),MATCH(Weights!$K$15,Resources!$B$1:$F$1,0))))/10</f>
        <v>61.3</v>
      </c>
      <c r="K123" s="3" t="str">
        <f aca="false">IF(J123&lt;40,"Poor",IF(J123&lt;55,"Basic",IF(J123&lt;70,"Solid",IF(J123&lt;85,"Strong",IF(J123&lt;95,"Excellent","Exceptional")))))</f>
        <v>Solid</v>
      </c>
      <c r="L123" s="3" t="s">
        <v>50</v>
      </c>
      <c r="M123" s="6" t="n">
        <f aca="false">(Weights!$C$16*IF(Weights!$D$16=0,$E123,INDEX(Resources!$B$2:$F$10,MATCH(CHOOSE(Weights!$D$16,$B123,$C123,$D123),Resources!$A$2:$A$10,0),MATCH(Weights!$E$16,Resources!$B$1:$F$1,0)))+Weights!$F$16*IF(Weights!$G$16=0,$E123,INDEX(Resources!$B$2:$F$10,MATCH(CHOOSE(Weights!$G$16,$B123,$C123,$D123),Resources!$A$2:$A$10,0),MATCH(Weights!$H$16,Resources!$B$1:$F$1,0)))+Weights!$I$16*IF(Weights!$J$16=0,$E123,INDEX(Resources!$B$2:$F$10,MATCH(CHOOSE(Weights!$J$16,$B123,$C123,$D123),Resources!$A$2:$A$10,0),MATCH(Weights!$K$16,Resources!$B$1:$F$1,0))))/10</f>
        <v>42.35</v>
      </c>
      <c r="N123" s="3" t="str">
        <f aca="false">IF(M123&lt;40,"Poor",IF(M123&lt;55,"Basic",IF(M123&lt;70,"Solid",IF(M123&lt;85,"Strong",IF(M123&lt;95,"Excellent","Exceptional")))))</f>
        <v>Basic</v>
      </c>
      <c r="O123" s="6" t="n">
        <f aca="false">MIN(100,MAX(G123,J123,M123)*(1+0.05*3))</f>
        <v>87.055</v>
      </c>
      <c r="P123" s="3" t="str">
        <f aca="false">IF(O123&lt;40,"Poor",IF(O123&lt;55,"Basic",IF(O123&lt;70,"Solid",IF(O123&lt;85,"Strong",IF(O123&lt;95,"Excellent","Exceptional")))))</f>
        <v>Excellent</v>
      </c>
    </row>
    <row r="124" customFormat="false" ht="15" hidden="false" customHeight="true" outlineLevel="0" collapsed="false">
      <c r="A124" s="3" t="s">
        <v>47</v>
      </c>
      <c r="B124" s="4" t="s">
        <v>9</v>
      </c>
      <c r="C124" s="4" t="s">
        <v>13</v>
      </c>
      <c r="D124" s="4" t="s">
        <v>18</v>
      </c>
      <c r="E124" s="3" t="n">
        <f aca="false">AVERAGE(INDEX(Resources!$B$2:$F$10,MATCH($B124,Resources!$A$2:$A$10,0),1),INDEX(Resources!$B$2:$F$10,MATCH($C124,Resources!$A$2:$A$10,0),1),INDEX(Resources!$B$2:$F$10,MATCH($D124,Resources!$A$2:$A$10,0),1))</f>
        <v>770</v>
      </c>
      <c r="F124" s="3" t="s">
        <v>48</v>
      </c>
      <c r="G124" s="6" t="n">
        <f aca="false">(Weights!$C$14*IF(Weights!$D$14=0,$E124,INDEX(Resources!$B$2:$F$10,MATCH(CHOOSE(Weights!$D$14,$B124,$C124,$D124),Resources!$A$2:$A$10,0),MATCH(Weights!$E$14,Resources!$B$1:$F$1,0)))+Weights!$F$14*IF(Weights!$G$14=0,$E124,INDEX(Resources!$B$2:$F$10,MATCH(CHOOSE(Weights!$G$14,$B124,$C124,$D124),Resources!$A$2:$A$10,0),MATCH(Weights!$H$14,Resources!$B$1:$F$1,0)))+Weights!$I$14*IF(Weights!$J$14=0,$E124,INDEX(Resources!$B$2:$F$10,MATCH(CHOOSE(Weights!$J$14,$B124,$C124,$D124),Resources!$A$2:$A$10,0),MATCH(Weights!$K$14,Resources!$B$1:$F$1,0))))/10</f>
        <v>78.15</v>
      </c>
      <c r="H124" s="3" t="str">
        <f aca="false">IF(G124&lt;40,"Poor",IF(G124&lt;55,"Basic",IF(G124&lt;70,"Solid",IF(G124&lt;85,"Strong",IF(G124&lt;95,"Excellent","Exceptional")))))</f>
        <v>Strong</v>
      </c>
      <c r="I124" s="3" t="s">
        <v>49</v>
      </c>
      <c r="J124" s="6" t="n">
        <f aca="false">(Weights!$C$15*IF(Weights!$D$15=0,$E124,INDEX(Resources!$B$2:$F$10,MATCH(CHOOSE(Weights!$D$15,$B124,$C124,$D124),Resources!$A$2:$A$10,0),MATCH(Weights!$E$15,Resources!$B$1:$F$1,0)))+Weights!$F$15*IF(Weights!$G$15=0,$E124,INDEX(Resources!$B$2:$F$10,MATCH(CHOOSE(Weights!$G$15,$B124,$C124,$D124),Resources!$A$2:$A$10,0),MATCH(Weights!$H$15,Resources!$B$1:$F$1,0)))+Weights!$I$15*IF(Weights!$J$15=0,$E124,INDEX(Resources!$B$2:$F$10,MATCH(CHOOSE(Weights!$J$15,$B124,$C124,$D124),Resources!$A$2:$A$10,0),MATCH(Weights!$K$15,Resources!$B$1:$F$1,0))))/10</f>
        <v>76.3</v>
      </c>
      <c r="K124" s="3" t="str">
        <f aca="false">IF(J124&lt;40,"Poor",IF(J124&lt;55,"Basic",IF(J124&lt;70,"Solid",IF(J124&lt;85,"Strong",IF(J124&lt;95,"Excellent","Exceptional")))))</f>
        <v>Strong</v>
      </c>
      <c r="L124" s="3" t="s">
        <v>50</v>
      </c>
      <c r="M124" s="6" t="n">
        <f aca="false">(Weights!$C$16*IF(Weights!$D$16=0,$E124,INDEX(Resources!$B$2:$F$10,MATCH(CHOOSE(Weights!$D$16,$B124,$C124,$D124),Resources!$A$2:$A$10,0),MATCH(Weights!$E$16,Resources!$B$1:$F$1,0)))+Weights!$F$16*IF(Weights!$G$16=0,$E124,INDEX(Resources!$B$2:$F$10,MATCH(CHOOSE(Weights!$G$16,$B124,$C124,$D124),Resources!$A$2:$A$10,0),MATCH(Weights!$H$16,Resources!$B$1:$F$1,0)))+Weights!$I$16*IF(Weights!$J$16=0,$E124,INDEX(Resources!$B$2:$F$10,MATCH(CHOOSE(Weights!$J$16,$B124,$C124,$D124),Resources!$A$2:$A$10,0),MATCH(Weights!$K$16,Resources!$B$1:$F$1,0))))/10</f>
        <v>63.1</v>
      </c>
      <c r="N124" s="3" t="str">
        <f aca="false">IF(M124&lt;40,"Poor",IF(M124&lt;55,"Basic",IF(M124&lt;70,"Solid",IF(M124&lt;85,"Strong",IF(M124&lt;95,"Excellent","Exceptional")))))</f>
        <v>Solid</v>
      </c>
      <c r="O124" s="6" t="n">
        <f aca="false">MIN(100,MAX(G124,J124,M124)*(1+0.05*3))</f>
        <v>89.8725</v>
      </c>
      <c r="P124" s="3" t="str">
        <f aca="false">IF(O124&lt;40,"Poor",IF(O124&lt;55,"Basic",IF(O124&lt;70,"Solid",IF(O124&lt;85,"Strong",IF(O124&lt;95,"Excellent","Exceptional")))))</f>
        <v>Excellent</v>
      </c>
    </row>
    <row r="125" customFormat="false" ht="15" hidden="false" customHeight="true" outlineLevel="0" collapsed="false">
      <c r="A125" s="3" t="s">
        <v>47</v>
      </c>
      <c r="B125" s="4" t="s">
        <v>9</v>
      </c>
      <c r="C125" s="4" t="s">
        <v>14</v>
      </c>
      <c r="D125" s="4" t="s">
        <v>15</v>
      </c>
      <c r="E125" s="3" t="n">
        <f aca="false">AVERAGE(INDEX(Resources!$B$2:$F$10,MATCH($B125,Resources!$A$2:$A$10,0),1),INDEX(Resources!$B$2:$F$10,MATCH($C125,Resources!$A$2:$A$10,0),1),INDEX(Resources!$B$2:$F$10,MATCH($D125,Resources!$A$2:$A$10,0),1))</f>
        <v>643.333333333333</v>
      </c>
      <c r="F125" s="3" t="s">
        <v>48</v>
      </c>
      <c r="G125" s="6" t="n">
        <f aca="false">(Weights!$C$14*IF(Weights!$D$14=0,$E125,INDEX(Resources!$B$2:$F$10,MATCH(CHOOSE(Weights!$D$14,$B125,$C125,$D125),Resources!$A$2:$A$10,0),MATCH(Weights!$E$14,Resources!$B$1:$F$1,0)))+Weights!$F$14*IF(Weights!$G$14=0,$E125,INDEX(Resources!$B$2:$F$10,MATCH(CHOOSE(Weights!$G$14,$B125,$C125,$D125),Resources!$A$2:$A$10,0),MATCH(Weights!$H$14,Resources!$B$1:$F$1,0)))+Weights!$I$14*IF(Weights!$J$14=0,$E125,INDEX(Resources!$B$2:$F$10,MATCH(CHOOSE(Weights!$J$14,$B125,$C125,$D125),Resources!$A$2:$A$10,0),MATCH(Weights!$K$14,Resources!$B$1:$F$1,0))))/10</f>
        <v>73.7166666666667</v>
      </c>
      <c r="H125" s="3" t="str">
        <f aca="false">IF(G125&lt;40,"Poor",IF(G125&lt;55,"Basic",IF(G125&lt;70,"Solid",IF(G125&lt;85,"Strong",IF(G125&lt;95,"Excellent","Exceptional")))))</f>
        <v>Strong</v>
      </c>
      <c r="I125" s="3" t="s">
        <v>49</v>
      </c>
      <c r="J125" s="6" t="n">
        <f aca="false">(Weights!$C$15*IF(Weights!$D$15=0,$E125,INDEX(Resources!$B$2:$F$10,MATCH(CHOOSE(Weights!$D$15,$B125,$C125,$D125),Resources!$A$2:$A$10,0),MATCH(Weights!$E$15,Resources!$B$1:$F$1,0)))+Weights!$F$15*IF(Weights!$G$15=0,$E125,INDEX(Resources!$B$2:$F$10,MATCH(CHOOSE(Weights!$G$15,$B125,$C125,$D125),Resources!$A$2:$A$10,0),MATCH(Weights!$H$15,Resources!$B$1:$F$1,0)))+Weights!$I$15*IF(Weights!$J$15=0,$E125,INDEX(Resources!$B$2:$F$10,MATCH(CHOOSE(Weights!$J$15,$B125,$C125,$D125),Resources!$A$2:$A$10,0),MATCH(Weights!$K$15,Resources!$B$1:$F$1,0))))/10</f>
        <v>79.7</v>
      </c>
      <c r="K125" s="3" t="str">
        <f aca="false">IF(J125&lt;40,"Poor",IF(J125&lt;55,"Basic",IF(J125&lt;70,"Solid",IF(J125&lt;85,"Strong",IF(J125&lt;95,"Excellent","Exceptional")))))</f>
        <v>Strong</v>
      </c>
      <c r="L125" s="3" t="s">
        <v>50</v>
      </c>
      <c r="M125" s="6" t="n">
        <f aca="false">(Weights!$C$16*IF(Weights!$D$16=0,$E125,INDEX(Resources!$B$2:$F$10,MATCH(CHOOSE(Weights!$D$16,$B125,$C125,$D125),Resources!$A$2:$A$10,0),MATCH(Weights!$E$16,Resources!$B$1:$F$1,0)))+Weights!$F$16*IF(Weights!$G$16=0,$E125,INDEX(Resources!$B$2:$F$10,MATCH(CHOOSE(Weights!$G$16,$B125,$C125,$D125),Resources!$A$2:$A$10,0),MATCH(Weights!$H$16,Resources!$B$1:$F$1,0)))+Weights!$I$16*IF(Weights!$J$16=0,$E125,INDEX(Resources!$B$2:$F$10,MATCH(CHOOSE(Weights!$J$16,$B125,$C125,$D125),Resources!$A$2:$A$10,0),MATCH(Weights!$K$16,Resources!$B$1:$F$1,0))))/10</f>
        <v>67.5166666666667</v>
      </c>
      <c r="N125" s="3" t="str">
        <f aca="false">IF(M125&lt;40,"Poor",IF(M125&lt;55,"Basic",IF(M125&lt;70,"Solid",IF(M125&lt;85,"Strong",IF(M125&lt;95,"Excellent","Exceptional")))))</f>
        <v>Solid</v>
      </c>
      <c r="O125" s="6" t="n">
        <f aca="false">MIN(100,MAX(G125,J125,M125)*(1+0.05*3))</f>
        <v>91.655</v>
      </c>
      <c r="P125" s="3" t="str">
        <f aca="false">IF(O125&lt;40,"Poor",IF(O125&lt;55,"Basic",IF(O125&lt;70,"Solid",IF(O125&lt;85,"Strong",IF(O125&lt;95,"Excellent","Exceptional")))))</f>
        <v>Excellent</v>
      </c>
    </row>
    <row r="126" customFormat="false" ht="15" hidden="false" customHeight="true" outlineLevel="0" collapsed="false">
      <c r="A126" s="3" t="s">
        <v>47</v>
      </c>
      <c r="B126" s="4" t="s">
        <v>9</v>
      </c>
      <c r="C126" s="4" t="s">
        <v>14</v>
      </c>
      <c r="D126" s="4" t="s">
        <v>17</v>
      </c>
      <c r="E126" s="3" t="n">
        <f aca="false">AVERAGE(INDEX(Resources!$B$2:$F$10,MATCH($B126,Resources!$A$2:$A$10,0),1),INDEX(Resources!$B$2:$F$10,MATCH($C126,Resources!$A$2:$A$10,0),1),INDEX(Resources!$B$2:$F$10,MATCH($D126,Resources!$A$2:$A$10,0),1))</f>
        <v>613.333333333333</v>
      </c>
      <c r="F126" s="3" t="s">
        <v>48</v>
      </c>
      <c r="G126" s="6" t="n">
        <f aca="false">(Weights!$C$14*IF(Weights!$D$14=0,$E126,INDEX(Resources!$B$2:$F$10,MATCH(CHOOSE(Weights!$D$14,$B126,$C126,$D126),Resources!$A$2:$A$10,0),MATCH(Weights!$E$14,Resources!$B$1:$F$1,0)))+Weights!$F$14*IF(Weights!$G$14=0,$E126,INDEX(Resources!$B$2:$F$10,MATCH(CHOOSE(Weights!$G$14,$B126,$C126,$D126),Resources!$A$2:$A$10,0),MATCH(Weights!$H$14,Resources!$B$1:$F$1,0)))+Weights!$I$14*IF(Weights!$J$14=0,$E126,INDEX(Resources!$B$2:$F$10,MATCH(CHOOSE(Weights!$J$14,$B126,$C126,$D126),Resources!$A$2:$A$10,0),MATCH(Weights!$K$14,Resources!$B$1:$F$1,0))))/10</f>
        <v>72.6666666666667</v>
      </c>
      <c r="H126" s="3" t="str">
        <f aca="false">IF(G126&lt;40,"Poor",IF(G126&lt;55,"Basic",IF(G126&lt;70,"Solid",IF(G126&lt;85,"Strong",IF(G126&lt;95,"Excellent","Exceptional")))))</f>
        <v>Strong</v>
      </c>
      <c r="I126" s="3" t="s">
        <v>49</v>
      </c>
      <c r="J126" s="6" t="n">
        <f aca="false">(Weights!$C$15*IF(Weights!$D$15=0,$E126,INDEX(Resources!$B$2:$F$10,MATCH(CHOOSE(Weights!$D$15,$B126,$C126,$D126),Resources!$A$2:$A$10,0),MATCH(Weights!$E$15,Resources!$B$1:$F$1,0)))+Weights!$F$15*IF(Weights!$G$15=0,$E126,INDEX(Resources!$B$2:$F$10,MATCH(CHOOSE(Weights!$G$15,$B126,$C126,$D126),Resources!$A$2:$A$10,0),MATCH(Weights!$H$15,Resources!$B$1:$F$1,0)))+Weights!$I$15*IF(Weights!$J$15=0,$E126,INDEX(Resources!$B$2:$F$10,MATCH(CHOOSE(Weights!$J$15,$B126,$C126,$D126),Resources!$A$2:$A$10,0),MATCH(Weights!$K$15,Resources!$B$1:$F$1,0))))/10</f>
        <v>58.7</v>
      </c>
      <c r="K126" s="3" t="str">
        <f aca="false">IF(J126&lt;40,"Poor",IF(J126&lt;55,"Basic",IF(J126&lt;70,"Solid",IF(J126&lt;85,"Strong",IF(J126&lt;95,"Excellent","Exceptional")))))</f>
        <v>Solid</v>
      </c>
      <c r="L126" s="3" t="s">
        <v>50</v>
      </c>
      <c r="M126" s="6" t="n">
        <f aca="false">(Weights!$C$16*IF(Weights!$D$16=0,$E126,INDEX(Resources!$B$2:$F$10,MATCH(CHOOSE(Weights!$D$16,$B126,$C126,$D126),Resources!$A$2:$A$10,0),MATCH(Weights!$E$16,Resources!$B$1:$F$1,0)))+Weights!$F$16*IF(Weights!$G$16=0,$E126,INDEX(Resources!$B$2:$F$10,MATCH(CHOOSE(Weights!$G$16,$B126,$C126,$D126),Resources!$A$2:$A$10,0),MATCH(Weights!$H$16,Resources!$B$1:$F$1,0)))+Weights!$I$16*IF(Weights!$J$16=0,$E126,INDEX(Resources!$B$2:$F$10,MATCH(CHOOSE(Weights!$J$16,$B126,$C126,$D126),Resources!$A$2:$A$10,0),MATCH(Weights!$K$16,Resources!$B$1:$F$1,0))))/10</f>
        <v>36.7666666666667</v>
      </c>
      <c r="N126" s="3" t="str">
        <f aca="false">IF(M126&lt;40,"Poor",IF(M126&lt;55,"Basic",IF(M126&lt;70,"Solid",IF(M126&lt;85,"Strong",IF(M126&lt;95,"Excellent","Exceptional")))))</f>
        <v>Poor</v>
      </c>
      <c r="O126" s="6" t="n">
        <f aca="false">MIN(100,MAX(G126,J126,M126)*(1+0.05*3))</f>
        <v>83.5666666666667</v>
      </c>
      <c r="P126" s="3" t="str">
        <f aca="false">IF(O126&lt;40,"Poor",IF(O126&lt;55,"Basic",IF(O126&lt;70,"Solid",IF(O126&lt;85,"Strong",IF(O126&lt;95,"Excellent","Exceptional")))))</f>
        <v>Strong</v>
      </c>
    </row>
    <row r="127" customFormat="false" ht="15" hidden="false" customHeight="true" outlineLevel="0" collapsed="false">
      <c r="A127" s="3" t="s">
        <v>47</v>
      </c>
      <c r="B127" s="4" t="s">
        <v>9</v>
      </c>
      <c r="C127" s="4" t="s">
        <v>14</v>
      </c>
      <c r="D127" s="4" t="s">
        <v>18</v>
      </c>
      <c r="E127" s="3" t="n">
        <f aca="false">AVERAGE(INDEX(Resources!$B$2:$F$10,MATCH($B127,Resources!$A$2:$A$10,0),1),INDEX(Resources!$B$2:$F$10,MATCH($C127,Resources!$A$2:$A$10,0),1),INDEX(Resources!$B$2:$F$10,MATCH($D127,Resources!$A$2:$A$10,0),1))</f>
        <v>683.333333333333</v>
      </c>
      <c r="F127" s="3" t="s">
        <v>48</v>
      </c>
      <c r="G127" s="6" t="n">
        <f aca="false">(Weights!$C$14*IF(Weights!$D$14=0,$E127,INDEX(Resources!$B$2:$F$10,MATCH(CHOOSE(Weights!$D$14,$B127,$C127,$D127),Resources!$A$2:$A$10,0),MATCH(Weights!$E$14,Resources!$B$1:$F$1,0)))+Weights!$F$14*IF(Weights!$G$14=0,$E127,INDEX(Resources!$B$2:$F$10,MATCH(CHOOSE(Weights!$G$14,$B127,$C127,$D127),Resources!$A$2:$A$10,0),MATCH(Weights!$H$14,Resources!$B$1:$F$1,0)))+Weights!$I$14*IF(Weights!$J$14=0,$E127,INDEX(Resources!$B$2:$F$10,MATCH(CHOOSE(Weights!$J$14,$B127,$C127,$D127),Resources!$A$2:$A$10,0),MATCH(Weights!$K$14,Resources!$B$1:$F$1,0))))/10</f>
        <v>75.1166666666667</v>
      </c>
      <c r="H127" s="3" t="str">
        <f aca="false">IF(G127&lt;40,"Poor",IF(G127&lt;55,"Basic",IF(G127&lt;70,"Solid",IF(G127&lt;85,"Strong",IF(G127&lt;95,"Excellent","Exceptional")))))</f>
        <v>Strong</v>
      </c>
      <c r="I127" s="3" t="s">
        <v>49</v>
      </c>
      <c r="J127" s="6" t="n">
        <f aca="false">(Weights!$C$15*IF(Weights!$D$15=0,$E127,INDEX(Resources!$B$2:$F$10,MATCH(CHOOSE(Weights!$D$15,$B127,$C127,$D127),Resources!$A$2:$A$10,0),MATCH(Weights!$E$15,Resources!$B$1:$F$1,0)))+Weights!$F$15*IF(Weights!$G$15=0,$E127,INDEX(Resources!$B$2:$F$10,MATCH(CHOOSE(Weights!$G$15,$B127,$C127,$D127),Resources!$A$2:$A$10,0),MATCH(Weights!$H$15,Resources!$B$1:$F$1,0)))+Weights!$I$15*IF(Weights!$J$15=0,$E127,INDEX(Resources!$B$2:$F$10,MATCH(CHOOSE(Weights!$J$15,$B127,$C127,$D127),Resources!$A$2:$A$10,0),MATCH(Weights!$K$15,Resources!$B$1:$F$1,0))))/10</f>
        <v>73.7</v>
      </c>
      <c r="K127" s="3" t="str">
        <f aca="false">IF(J127&lt;40,"Poor",IF(J127&lt;55,"Basic",IF(J127&lt;70,"Solid",IF(J127&lt;85,"Strong",IF(J127&lt;95,"Excellent","Exceptional")))))</f>
        <v>Strong</v>
      </c>
      <c r="L127" s="3" t="s">
        <v>50</v>
      </c>
      <c r="M127" s="6" t="n">
        <f aca="false">(Weights!$C$16*IF(Weights!$D$16=0,$E127,INDEX(Resources!$B$2:$F$10,MATCH(CHOOSE(Weights!$D$16,$B127,$C127,$D127),Resources!$A$2:$A$10,0),MATCH(Weights!$E$16,Resources!$B$1:$F$1,0)))+Weights!$F$16*IF(Weights!$G$16=0,$E127,INDEX(Resources!$B$2:$F$10,MATCH(CHOOSE(Weights!$G$16,$B127,$C127,$D127),Resources!$A$2:$A$10,0),MATCH(Weights!$H$16,Resources!$B$1:$F$1,0)))+Weights!$I$16*IF(Weights!$J$16=0,$E127,INDEX(Resources!$B$2:$F$10,MATCH(CHOOSE(Weights!$J$16,$B127,$C127,$D127),Resources!$A$2:$A$10,0),MATCH(Weights!$K$16,Resources!$B$1:$F$1,0))))/10</f>
        <v>57.5166666666667</v>
      </c>
      <c r="N127" s="3" t="str">
        <f aca="false">IF(M127&lt;40,"Poor",IF(M127&lt;55,"Basic",IF(M127&lt;70,"Solid",IF(M127&lt;85,"Strong",IF(M127&lt;95,"Excellent","Exceptional")))))</f>
        <v>Solid</v>
      </c>
      <c r="O127" s="6" t="n">
        <f aca="false">MIN(100,MAX(G127,J127,M127)*(1+0.05*3))</f>
        <v>86.3841666666667</v>
      </c>
      <c r="P127" s="3" t="str">
        <f aca="false">IF(O127&lt;40,"Poor",IF(O127&lt;55,"Basic",IF(O127&lt;70,"Solid",IF(O127&lt;85,"Strong",IF(O127&lt;95,"Excellent","Exceptional")))))</f>
        <v>Excellent</v>
      </c>
    </row>
    <row r="128" customFormat="false" ht="15" hidden="false" customHeight="true" outlineLevel="0" collapsed="false">
      <c r="A128" s="3" t="s">
        <v>47</v>
      </c>
      <c r="B128" s="4" t="s">
        <v>10</v>
      </c>
      <c r="C128" s="4" t="s">
        <v>11</v>
      </c>
      <c r="D128" s="4" t="s">
        <v>15</v>
      </c>
      <c r="E128" s="3" t="n">
        <f aca="false">AVERAGE(INDEX(Resources!$B$2:$F$10,MATCH($B128,Resources!$A$2:$A$10,0),1),INDEX(Resources!$B$2:$F$10,MATCH($C128,Resources!$A$2:$A$10,0),1),INDEX(Resources!$B$2:$F$10,MATCH($D128,Resources!$A$2:$A$10,0),1))</f>
        <v>543.333333333333</v>
      </c>
      <c r="F128" s="3" t="s">
        <v>48</v>
      </c>
      <c r="G128" s="6" t="n">
        <f aca="false">(Weights!$C$14*IF(Weights!$D$14=0,$E128,INDEX(Resources!$B$2:$F$10,MATCH(CHOOSE(Weights!$D$14,$B128,$C128,$D128),Resources!$A$2:$A$10,0),MATCH(Weights!$E$14,Resources!$B$1:$F$1,0)))+Weights!$F$14*IF(Weights!$G$14=0,$E128,INDEX(Resources!$B$2:$F$10,MATCH(CHOOSE(Weights!$G$14,$B128,$C128,$D128),Resources!$A$2:$A$10,0),MATCH(Weights!$H$14,Resources!$B$1:$F$1,0)))+Weights!$I$14*IF(Weights!$J$14=0,$E128,INDEX(Resources!$B$2:$F$10,MATCH(CHOOSE(Weights!$J$14,$B128,$C128,$D128),Resources!$A$2:$A$10,0),MATCH(Weights!$K$14,Resources!$B$1:$F$1,0))))/10</f>
        <v>67.2166666666667</v>
      </c>
      <c r="H128" s="3" t="str">
        <f aca="false">IF(G128&lt;40,"Poor",IF(G128&lt;55,"Basic",IF(G128&lt;70,"Solid",IF(G128&lt;85,"Strong",IF(G128&lt;95,"Excellent","Exceptional")))))</f>
        <v>Solid</v>
      </c>
      <c r="I128" s="3" t="s">
        <v>49</v>
      </c>
      <c r="J128" s="6" t="n">
        <f aca="false">(Weights!$C$15*IF(Weights!$D$15=0,$E128,INDEX(Resources!$B$2:$F$10,MATCH(CHOOSE(Weights!$D$15,$B128,$C128,$D128),Resources!$A$2:$A$10,0),MATCH(Weights!$E$15,Resources!$B$1:$F$1,0)))+Weights!$F$15*IF(Weights!$G$15=0,$E128,INDEX(Resources!$B$2:$F$10,MATCH(CHOOSE(Weights!$G$15,$B128,$C128,$D128),Resources!$A$2:$A$10,0),MATCH(Weights!$H$15,Resources!$B$1:$F$1,0)))+Weights!$I$15*IF(Weights!$J$15=0,$E128,INDEX(Resources!$B$2:$F$10,MATCH(CHOOSE(Weights!$J$15,$B128,$C128,$D128),Resources!$A$2:$A$10,0),MATCH(Weights!$K$15,Resources!$B$1:$F$1,0))))/10</f>
        <v>59.9</v>
      </c>
      <c r="K128" s="3" t="str">
        <f aca="false">IF(J128&lt;40,"Poor",IF(J128&lt;55,"Basic",IF(J128&lt;70,"Solid",IF(J128&lt;85,"Strong",IF(J128&lt;95,"Excellent","Exceptional")))))</f>
        <v>Solid</v>
      </c>
      <c r="L128" s="3" t="s">
        <v>50</v>
      </c>
      <c r="M128" s="6" t="n">
        <f aca="false">(Weights!$C$16*IF(Weights!$D$16=0,$E128,INDEX(Resources!$B$2:$F$10,MATCH(CHOOSE(Weights!$D$16,$B128,$C128,$D128),Resources!$A$2:$A$10,0),MATCH(Weights!$E$16,Resources!$B$1:$F$1,0)))+Weights!$F$16*IF(Weights!$G$16=0,$E128,INDEX(Resources!$B$2:$F$10,MATCH(CHOOSE(Weights!$G$16,$B128,$C128,$D128),Resources!$A$2:$A$10,0),MATCH(Weights!$H$16,Resources!$B$1:$F$1,0)))+Weights!$I$16*IF(Weights!$J$16=0,$E128,INDEX(Resources!$B$2:$F$10,MATCH(CHOOSE(Weights!$J$16,$B128,$C128,$D128),Resources!$A$2:$A$10,0),MATCH(Weights!$K$16,Resources!$B$1:$F$1,0))))/10</f>
        <v>75.6666666666667</v>
      </c>
      <c r="N128" s="3" t="str">
        <f aca="false">IF(M128&lt;40,"Poor",IF(M128&lt;55,"Basic",IF(M128&lt;70,"Solid",IF(M128&lt;85,"Strong",IF(M128&lt;95,"Excellent","Exceptional")))))</f>
        <v>Strong</v>
      </c>
      <c r="O128" s="6" t="n">
        <f aca="false">MIN(100,MAX(G128,J128,M128)*(1+0.05*3))</f>
        <v>87.0166666666667</v>
      </c>
      <c r="P128" s="3" t="str">
        <f aca="false">IF(O128&lt;40,"Poor",IF(O128&lt;55,"Basic",IF(O128&lt;70,"Solid",IF(O128&lt;85,"Strong",IF(O128&lt;95,"Excellent","Exceptional")))))</f>
        <v>Excellent</v>
      </c>
    </row>
    <row r="129" customFormat="false" ht="15" hidden="false" customHeight="true" outlineLevel="0" collapsed="false">
      <c r="A129" s="3" t="s">
        <v>47</v>
      </c>
      <c r="B129" s="4" t="s">
        <v>10</v>
      </c>
      <c r="C129" s="4" t="s">
        <v>11</v>
      </c>
      <c r="D129" s="4" t="s">
        <v>17</v>
      </c>
      <c r="E129" s="3" t="n">
        <f aca="false">AVERAGE(INDEX(Resources!$B$2:$F$10,MATCH($B129,Resources!$A$2:$A$10,0),1),INDEX(Resources!$B$2:$F$10,MATCH($C129,Resources!$A$2:$A$10,0),1),INDEX(Resources!$B$2:$F$10,MATCH($D129,Resources!$A$2:$A$10,0),1))</f>
        <v>513.333333333333</v>
      </c>
      <c r="F129" s="3" t="s">
        <v>48</v>
      </c>
      <c r="G129" s="6" t="n">
        <f aca="false">(Weights!$C$14*IF(Weights!$D$14=0,$E129,INDEX(Resources!$B$2:$F$10,MATCH(CHOOSE(Weights!$D$14,$B129,$C129,$D129),Resources!$A$2:$A$10,0),MATCH(Weights!$E$14,Resources!$B$1:$F$1,0)))+Weights!$F$14*IF(Weights!$G$14=0,$E129,INDEX(Resources!$B$2:$F$10,MATCH(CHOOSE(Weights!$G$14,$B129,$C129,$D129),Resources!$A$2:$A$10,0),MATCH(Weights!$H$14,Resources!$B$1:$F$1,0)))+Weights!$I$14*IF(Weights!$J$14=0,$E129,INDEX(Resources!$B$2:$F$10,MATCH(CHOOSE(Weights!$J$14,$B129,$C129,$D129),Resources!$A$2:$A$10,0),MATCH(Weights!$K$14,Resources!$B$1:$F$1,0))))/10</f>
        <v>66.1666666666667</v>
      </c>
      <c r="H129" s="3" t="str">
        <f aca="false">IF(G129&lt;40,"Poor",IF(G129&lt;55,"Basic",IF(G129&lt;70,"Solid",IF(G129&lt;85,"Strong",IF(G129&lt;95,"Excellent","Exceptional")))))</f>
        <v>Solid</v>
      </c>
      <c r="I129" s="3" t="s">
        <v>49</v>
      </c>
      <c r="J129" s="6" t="n">
        <f aca="false">(Weights!$C$15*IF(Weights!$D$15=0,$E129,INDEX(Resources!$B$2:$F$10,MATCH(CHOOSE(Weights!$D$15,$B129,$C129,$D129),Resources!$A$2:$A$10,0),MATCH(Weights!$E$15,Resources!$B$1:$F$1,0)))+Weights!$F$15*IF(Weights!$G$15=0,$E129,INDEX(Resources!$B$2:$F$10,MATCH(CHOOSE(Weights!$G$15,$B129,$C129,$D129),Resources!$A$2:$A$10,0),MATCH(Weights!$H$15,Resources!$B$1:$F$1,0)))+Weights!$I$15*IF(Weights!$J$15=0,$E129,INDEX(Resources!$B$2:$F$10,MATCH(CHOOSE(Weights!$J$15,$B129,$C129,$D129),Resources!$A$2:$A$10,0),MATCH(Weights!$K$15,Resources!$B$1:$F$1,0))))/10</f>
        <v>38.9</v>
      </c>
      <c r="K129" s="3" t="str">
        <f aca="false">IF(J129&lt;40,"Poor",IF(J129&lt;55,"Basic",IF(J129&lt;70,"Solid",IF(J129&lt;85,"Strong",IF(J129&lt;95,"Excellent","Exceptional")))))</f>
        <v>Poor</v>
      </c>
      <c r="L129" s="3" t="s">
        <v>50</v>
      </c>
      <c r="M129" s="6" t="n">
        <f aca="false">(Weights!$C$16*IF(Weights!$D$16=0,$E129,INDEX(Resources!$B$2:$F$10,MATCH(CHOOSE(Weights!$D$16,$B129,$C129,$D129),Resources!$A$2:$A$10,0),MATCH(Weights!$E$16,Resources!$B$1:$F$1,0)))+Weights!$F$16*IF(Weights!$G$16=0,$E129,INDEX(Resources!$B$2:$F$10,MATCH(CHOOSE(Weights!$G$16,$B129,$C129,$D129),Resources!$A$2:$A$10,0),MATCH(Weights!$H$16,Resources!$B$1:$F$1,0)))+Weights!$I$16*IF(Weights!$J$16=0,$E129,INDEX(Resources!$B$2:$F$10,MATCH(CHOOSE(Weights!$J$16,$B129,$C129,$D129),Resources!$A$2:$A$10,0),MATCH(Weights!$K$16,Resources!$B$1:$F$1,0))))/10</f>
        <v>44.9166666666667</v>
      </c>
      <c r="N129" s="3" t="str">
        <f aca="false">IF(M129&lt;40,"Poor",IF(M129&lt;55,"Basic",IF(M129&lt;70,"Solid",IF(M129&lt;85,"Strong",IF(M129&lt;95,"Excellent","Exceptional")))))</f>
        <v>Basic</v>
      </c>
      <c r="O129" s="6" t="n">
        <f aca="false">MIN(100,MAX(G129,J129,M129)*(1+0.05*3))</f>
        <v>76.0916666666667</v>
      </c>
      <c r="P129" s="3" t="str">
        <f aca="false">IF(O129&lt;40,"Poor",IF(O129&lt;55,"Basic",IF(O129&lt;70,"Solid",IF(O129&lt;85,"Strong",IF(O129&lt;95,"Excellent","Exceptional")))))</f>
        <v>Strong</v>
      </c>
    </row>
    <row r="130" customFormat="false" ht="15" hidden="false" customHeight="true" outlineLevel="0" collapsed="false">
      <c r="A130" s="3" t="s">
        <v>47</v>
      </c>
      <c r="B130" s="4" t="s">
        <v>10</v>
      </c>
      <c r="C130" s="4" t="s">
        <v>11</v>
      </c>
      <c r="D130" s="4" t="s">
        <v>18</v>
      </c>
      <c r="E130" s="3" t="n">
        <f aca="false">AVERAGE(INDEX(Resources!$B$2:$F$10,MATCH($B130,Resources!$A$2:$A$10,0),1),INDEX(Resources!$B$2:$F$10,MATCH($C130,Resources!$A$2:$A$10,0),1),INDEX(Resources!$B$2:$F$10,MATCH($D130,Resources!$A$2:$A$10,0),1))</f>
        <v>583.333333333333</v>
      </c>
      <c r="F130" s="3" t="s">
        <v>48</v>
      </c>
      <c r="G130" s="6" t="n">
        <f aca="false">(Weights!$C$14*IF(Weights!$D$14=0,$E130,INDEX(Resources!$B$2:$F$10,MATCH(CHOOSE(Weights!$D$14,$B130,$C130,$D130),Resources!$A$2:$A$10,0),MATCH(Weights!$E$14,Resources!$B$1:$F$1,0)))+Weights!$F$14*IF(Weights!$G$14=0,$E130,INDEX(Resources!$B$2:$F$10,MATCH(CHOOSE(Weights!$G$14,$B130,$C130,$D130),Resources!$A$2:$A$10,0),MATCH(Weights!$H$14,Resources!$B$1:$F$1,0)))+Weights!$I$14*IF(Weights!$J$14=0,$E130,INDEX(Resources!$B$2:$F$10,MATCH(CHOOSE(Weights!$J$14,$B130,$C130,$D130),Resources!$A$2:$A$10,0),MATCH(Weights!$K$14,Resources!$B$1:$F$1,0))))/10</f>
        <v>68.6166666666667</v>
      </c>
      <c r="H130" s="3" t="str">
        <f aca="false">IF(G130&lt;40,"Poor",IF(G130&lt;55,"Basic",IF(G130&lt;70,"Solid",IF(G130&lt;85,"Strong",IF(G130&lt;95,"Excellent","Exceptional")))))</f>
        <v>Solid</v>
      </c>
      <c r="I130" s="3" t="s">
        <v>49</v>
      </c>
      <c r="J130" s="6" t="n">
        <f aca="false">(Weights!$C$15*IF(Weights!$D$15=0,$E130,INDEX(Resources!$B$2:$F$10,MATCH(CHOOSE(Weights!$D$15,$B130,$C130,$D130),Resources!$A$2:$A$10,0),MATCH(Weights!$E$15,Resources!$B$1:$F$1,0)))+Weights!$F$15*IF(Weights!$G$15=0,$E130,INDEX(Resources!$B$2:$F$10,MATCH(CHOOSE(Weights!$G$15,$B130,$C130,$D130),Resources!$A$2:$A$10,0),MATCH(Weights!$H$15,Resources!$B$1:$F$1,0)))+Weights!$I$15*IF(Weights!$J$15=0,$E130,INDEX(Resources!$B$2:$F$10,MATCH(CHOOSE(Weights!$J$15,$B130,$C130,$D130),Resources!$A$2:$A$10,0),MATCH(Weights!$K$15,Resources!$B$1:$F$1,0))))/10</f>
        <v>53.9</v>
      </c>
      <c r="K130" s="3" t="str">
        <f aca="false">IF(J130&lt;40,"Poor",IF(J130&lt;55,"Basic",IF(J130&lt;70,"Solid",IF(J130&lt;85,"Strong",IF(J130&lt;95,"Excellent","Exceptional")))))</f>
        <v>Basic</v>
      </c>
      <c r="L130" s="3" t="s">
        <v>50</v>
      </c>
      <c r="M130" s="6" t="n">
        <f aca="false">(Weights!$C$16*IF(Weights!$D$16=0,$E130,INDEX(Resources!$B$2:$F$10,MATCH(CHOOSE(Weights!$D$16,$B130,$C130,$D130),Resources!$A$2:$A$10,0),MATCH(Weights!$E$16,Resources!$B$1:$F$1,0)))+Weights!$F$16*IF(Weights!$G$16=0,$E130,INDEX(Resources!$B$2:$F$10,MATCH(CHOOSE(Weights!$G$16,$B130,$C130,$D130),Resources!$A$2:$A$10,0),MATCH(Weights!$H$16,Resources!$B$1:$F$1,0)))+Weights!$I$16*IF(Weights!$J$16=0,$E130,INDEX(Resources!$B$2:$F$10,MATCH(CHOOSE(Weights!$J$16,$B130,$C130,$D130),Resources!$A$2:$A$10,0),MATCH(Weights!$K$16,Resources!$B$1:$F$1,0))))/10</f>
        <v>65.6666666666667</v>
      </c>
      <c r="N130" s="3" t="str">
        <f aca="false">IF(M130&lt;40,"Poor",IF(M130&lt;55,"Basic",IF(M130&lt;70,"Solid",IF(M130&lt;85,"Strong",IF(M130&lt;95,"Excellent","Exceptional")))))</f>
        <v>Solid</v>
      </c>
      <c r="O130" s="6" t="n">
        <f aca="false">MIN(100,MAX(G130,J130,M130)*(1+0.05*3))</f>
        <v>78.9091666666667</v>
      </c>
      <c r="P130" s="3" t="str">
        <f aca="false">IF(O130&lt;40,"Poor",IF(O130&lt;55,"Basic",IF(O130&lt;70,"Solid",IF(O130&lt;85,"Strong",IF(O130&lt;95,"Excellent","Exceptional")))))</f>
        <v>Strong</v>
      </c>
    </row>
    <row r="131" customFormat="false" ht="15" hidden="false" customHeight="true" outlineLevel="0" collapsed="false">
      <c r="A131" s="3" t="s">
        <v>47</v>
      </c>
      <c r="B131" s="4" t="s">
        <v>10</v>
      </c>
      <c r="C131" s="4" t="s">
        <v>13</v>
      </c>
      <c r="D131" s="4" t="s">
        <v>15</v>
      </c>
      <c r="E131" s="3" t="n">
        <f aca="false">AVERAGE(INDEX(Resources!$B$2:$F$10,MATCH($B131,Resources!$A$2:$A$10,0),1),INDEX(Resources!$B$2:$F$10,MATCH($C131,Resources!$A$2:$A$10,0),1),INDEX(Resources!$B$2:$F$10,MATCH($D131,Resources!$A$2:$A$10,0),1))</f>
        <v>703.333333333333</v>
      </c>
      <c r="F131" s="3" t="s">
        <v>48</v>
      </c>
      <c r="G131" s="6" t="n">
        <f aca="false">(Weights!$C$14*IF(Weights!$D$14=0,$E131,INDEX(Resources!$B$2:$F$10,MATCH(CHOOSE(Weights!$D$14,$B131,$C131,$D131),Resources!$A$2:$A$10,0),MATCH(Weights!$E$14,Resources!$B$1:$F$1,0)))+Weights!$F$14*IF(Weights!$G$14=0,$E131,INDEX(Resources!$B$2:$F$10,MATCH(CHOOSE(Weights!$G$14,$B131,$C131,$D131),Resources!$A$2:$A$10,0),MATCH(Weights!$H$14,Resources!$B$1:$F$1,0)))+Weights!$I$14*IF(Weights!$J$14=0,$E131,INDEX(Resources!$B$2:$F$10,MATCH(CHOOSE(Weights!$J$14,$B131,$C131,$D131),Resources!$A$2:$A$10,0),MATCH(Weights!$K$14,Resources!$B$1:$F$1,0))))/10</f>
        <v>72.8166666666667</v>
      </c>
      <c r="H131" s="3" t="str">
        <f aca="false">IF(G131&lt;40,"Poor",IF(G131&lt;55,"Basic",IF(G131&lt;70,"Solid",IF(G131&lt;85,"Strong",IF(G131&lt;95,"Excellent","Exceptional")))))</f>
        <v>Strong</v>
      </c>
      <c r="I131" s="3" t="s">
        <v>49</v>
      </c>
      <c r="J131" s="6" t="n">
        <f aca="false">(Weights!$C$15*IF(Weights!$D$15=0,$E131,INDEX(Resources!$B$2:$F$10,MATCH(CHOOSE(Weights!$D$15,$B131,$C131,$D131),Resources!$A$2:$A$10,0),MATCH(Weights!$E$15,Resources!$B$1:$F$1,0)))+Weights!$F$15*IF(Weights!$G$15=0,$E131,INDEX(Resources!$B$2:$F$10,MATCH(CHOOSE(Weights!$G$15,$B131,$C131,$D131),Resources!$A$2:$A$10,0),MATCH(Weights!$H$15,Resources!$B$1:$F$1,0)))+Weights!$I$15*IF(Weights!$J$15=0,$E131,INDEX(Resources!$B$2:$F$10,MATCH(CHOOSE(Weights!$J$15,$B131,$C131,$D131),Resources!$A$2:$A$10,0),MATCH(Weights!$K$15,Resources!$B$1:$F$1,0))))/10</f>
        <v>64.7</v>
      </c>
      <c r="K131" s="3" t="str">
        <f aca="false">IF(J131&lt;40,"Poor",IF(J131&lt;55,"Basic",IF(J131&lt;70,"Solid",IF(J131&lt;85,"Strong",IF(J131&lt;95,"Excellent","Exceptional")))))</f>
        <v>Solid</v>
      </c>
      <c r="L131" s="3" t="s">
        <v>50</v>
      </c>
      <c r="M131" s="6" t="n">
        <f aca="false">(Weights!$C$16*IF(Weights!$D$16=0,$E131,INDEX(Resources!$B$2:$F$10,MATCH(CHOOSE(Weights!$D$16,$B131,$C131,$D131),Resources!$A$2:$A$10,0),MATCH(Weights!$E$16,Resources!$B$1:$F$1,0)))+Weights!$F$16*IF(Weights!$G$16=0,$E131,INDEX(Resources!$B$2:$F$10,MATCH(CHOOSE(Weights!$G$16,$B131,$C131,$D131),Resources!$A$2:$A$10,0),MATCH(Weights!$H$16,Resources!$B$1:$F$1,0)))+Weights!$I$16*IF(Weights!$J$16=0,$E131,INDEX(Resources!$B$2:$F$10,MATCH(CHOOSE(Weights!$J$16,$B131,$C131,$D131),Resources!$A$2:$A$10,0),MATCH(Weights!$K$16,Resources!$B$1:$F$1,0))))/10</f>
        <v>72.5666666666667</v>
      </c>
      <c r="N131" s="3" t="str">
        <f aca="false">IF(M131&lt;40,"Poor",IF(M131&lt;55,"Basic",IF(M131&lt;70,"Solid",IF(M131&lt;85,"Strong",IF(M131&lt;95,"Excellent","Exceptional")))))</f>
        <v>Strong</v>
      </c>
      <c r="O131" s="6" t="n">
        <f aca="false">MIN(100,MAX(G131,J131,M131)*(1+0.05*3))</f>
        <v>83.7391666666667</v>
      </c>
      <c r="P131" s="3" t="str">
        <f aca="false">IF(O131&lt;40,"Poor",IF(O131&lt;55,"Basic",IF(O131&lt;70,"Solid",IF(O131&lt;85,"Strong",IF(O131&lt;95,"Excellent","Exceptional")))))</f>
        <v>Strong</v>
      </c>
    </row>
    <row r="132" customFormat="false" ht="15" hidden="false" customHeight="true" outlineLevel="0" collapsed="false">
      <c r="A132" s="3" t="s">
        <v>47</v>
      </c>
      <c r="B132" s="4" t="s">
        <v>10</v>
      </c>
      <c r="C132" s="4" t="s">
        <v>13</v>
      </c>
      <c r="D132" s="4" t="s">
        <v>17</v>
      </c>
      <c r="E132" s="3" t="n">
        <f aca="false">AVERAGE(INDEX(Resources!$B$2:$F$10,MATCH($B132,Resources!$A$2:$A$10,0),1),INDEX(Resources!$B$2:$F$10,MATCH($C132,Resources!$A$2:$A$10,0),1),INDEX(Resources!$B$2:$F$10,MATCH($D132,Resources!$A$2:$A$10,0),1))</f>
        <v>673.333333333333</v>
      </c>
      <c r="F132" s="3" t="s">
        <v>48</v>
      </c>
      <c r="G132" s="6" t="n">
        <f aca="false">(Weights!$C$14*IF(Weights!$D$14=0,$E132,INDEX(Resources!$B$2:$F$10,MATCH(CHOOSE(Weights!$D$14,$B132,$C132,$D132),Resources!$A$2:$A$10,0),MATCH(Weights!$E$14,Resources!$B$1:$F$1,0)))+Weights!$F$14*IF(Weights!$G$14=0,$E132,INDEX(Resources!$B$2:$F$10,MATCH(CHOOSE(Weights!$G$14,$B132,$C132,$D132),Resources!$A$2:$A$10,0),MATCH(Weights!$H$14,Resources!$B$1:$F$1,0)))+Weights!$I$14*IF(Weights!$J$14=0,$E132,INDEX(Resources!$B$2:$F$10,MATCH(CHOOSE(Weights!$J$14,$B132,$C132,$D132),Resources!$A$2:$A$10,0),MATCH(Weights!$K$14,Resources!$B$1:$F$1,0))))/10</f>
        <v>71.7666666666667</v>
      </c>
      <c r="H132" s="3" t="str">
        <f aca="false">IF(G132&lt;40,"Poor",IF(G132&lt;55,"Basic",IF(G132&lt;70,"Solid",IF(G132&lt;85,"Strong",IF(G132&lt;95,"Excellent","Exceptional")))))</f>
        <v>Strong</v>
      </c>
      <c r="I132" s="3" t="s">
        <v>49</v>
      </c>
      <c r="J132" s="6" t="n">
        <f aca="false">(Weights!$C$15*IF(Weights!$D$15=0,$E132,INDEX(Resources!$B$2:$F$10,MATCH(CHOOSE(Weights!$D$15,$B132,$C132,$D132),Resources!$A$2:$A$10,0),MATCH(Weights!$E$15,Resources!$B$1:$F$1,0)))+Weights!$F$15*IF(Weights!$G$15=0,$E132,INDEX(Resources!$B$2:$F$10,MATCH(CHOOSE(Weights!$G$15,$B132,$C132,$D132),Resources!$A$2:$A$10,0),MATCH(Weights!$H$15,Resources!$B$1:$F$1,0)))+Weights!$I$15*IF(Weights!$J$15=0,$E132,INDEX(Resources!$B$2:$F$10,MATCH(CHOOSE(Weights!$J$15,$B132,$C132,$D132),Resources!$A$2:$A$10,0),MATCH(Weights!$K$15,Resources!$B$1:$F$1,0))))/10</f>
        <v>43.7</v>
      </c>
      <c r="K132" s="3" t="str">
        <f aca="false">IF(J132&lt;40,"Poor",IF(J132&lt;55,"Basic",IF(J132&lt;70,"Solid",IF(J132&lt;85,"Strong",IF(J132&lt;95,"Excellent","Exceptional")))))</f>
        <v>Basic</v>
      </c>
      <c r="L132" s="3" t="s">
        <v>50</v>
      </c>
      <c r="M132" s="6" t="n">
        <f aca="false">(Weights!$C$16*IF(Weights!$D$16=0,$E132,INDEX(Resources!$B$2:$F$10,MATCH(CHOOSE(Weights!$D$16,$B132,$C132,$D132),Resources!$A$2:$A$10,0),MATCH(Weights!$E$16,Resources!$B$1:$F$1,0)))+Weights!$F$16*IF(Weights!$G$16=0,$E132,INDEX(Resources!$B$2:$F$10,MATCH(CHOOSE(Weights!$G$16,$B132,$C132,$D132),Resources!$A$2:$A$10,0),MATCH(Weights!$H$16,Resources!$B$1:$F$1,0)))+Weights!$I$16*IF(Weights!$J$16=0,$E132,INDEX(Resources!$B$2:$F$10,MATCH(CHOOSE(Weights!$J$16,$B132,$C132,$D132),Resources!$A$2:$A$10,0),MATCH(Weights!$K$16,Resources!$B$1:$F$1,0))))/10</f>
        <v>41.8166666666667</v>
      </c>
      <c r="N132" s="3" t="str">
        <f aca="false">IF(M132&lt;40,"Poor",IF(M132&lt;55,"Basic",IF(M132&lt;70,"Solid",IF(M132&lt;85,"Strong",IF(M132&lt;95,"Excellent","Exceptional")))))</f>
        <v>Basic</v>
      </c>
      <c r="O132" s="6" t="n">
        <f aca="false">MIN(100,MAX(G132,J132,M132)*(1+0.05*3))</f>
        <v>82.5316666666667</v>
      </c>
      <c r="P132" s="3" t="str">
        <f aca="false">IF(O132&lt;40,"Poor",IF(O132&lt;55,"Basic",IF(O132&lt;70,"Solid",IF(O132&lt;85,"Strong",IF(O132&lt;95,"Excellent","Exceptional")))))</f>
        <v>Strong</v>
      </c>
    </row>
    <row r="133" customFormat="false" ht="15" hidden="false" customHeight="true" outlineLevel="0" collapsed="false">
      <c r="A133" s="3" t="s">
        <v>47</v>
      </c>
      <c r="B133" s="4" t="s">
        <v>10</v>
      </c>
      <c r="C133" s="4" t="s">
        <v>13</v>
      </c>
      <c r="D133" s="4" t="s">
        <v>18</v>
      </c>
      <c r="E133" s="3" t="n">
        <f aca="false">AVERAGE(INDEX(Resources!$B$2:$F$10,MATCH($B133,Resources!$A$2:$A$10,0),1),INDEX(Resources!$B$2:$F$10,MATCH($C133,Resources!$A$2:$A$10,0),1),INDEX(Resources!$B$2:$F$10,MATCH($D133,Resources!$A$2:$A$10,0),1))</f>
        <v>743.333333333333</v>
      </c>
      <c r="F133" s="3" t="s">
        <v>48</v>
      </c>
      <c r="G133" s="6" t="n">
        <f aca="false">(Weights!$C$14*IF(Weights!$D$14=0,$E133,INDEX(Resources!$B$2:$F$10,MATCH(CHOOSE(Weights!$D$14,$B133,$C133,$D133),Resources!$A$2:$A$10,0),MATCH(Weights!$E$14,Resources!$B$1:$F$1,0)))+Weights!$F$14*IF(Weights!$G$14=0,$E133,INDEX(Resources!$B$2:$F$10,MATCH(CHOOSE(Weights!$G$14,$B133,$C133,$D133),Resources!$A$2:$A$10,0),MATCH(Weights!$H$14,Resources!$B$1:$F$1,0)))+Weights!$I$14*IF(Weights!$J$14=0,$E133,INDEX(Resources!$B$2:$F$10,MATCH(CHOOSE(Weights!$J$14,$B133,$C133,$D133),Resources!$A$2:$A$10,0),MATCH(Weights!$K$14,Resources!$B$1:$F$1,0))))/10</f>
        <v>74.2166666666667</v>
      </c>
      <c r="H133" s="3" t="str">
        <f aca="false">IF(G133&lt;40,"Poor",IF(G133&lt;55,"Basic",IF(G133&lt;70,"Solid",IF(G133&lt;85,"Strong",IF(G133&lt;95,"Excellent","Exceptional")))))</f>
        <v>Strong</v>
      </c>
      <c r="I133" s="3" t="s">
        <v>49</v>
      </c>
      <c r="J133" s="6" t="n">
        <f aca="false">(Weights!$C$15*IF(Weights!$D$15=0,$E133,INDEX(Resources!$B$2:$F$10,MATCH(CHOOSE(Weights!$D$15,$B133,$C133,$D133),Resources!$A$2:$A$10,0),MATCH(Weights!$E$15,Resources!$B$1:$F$1,0)))+Weights!$F$15*IF(Weights!$G$15=0,$E133,INDEX(Resources!$B$2:$F$10,MATCH(CHOOSE(Weights!$G$15,$B133,$C133,$D133),Resources!$A$2:$A$10,0),MATCH(Weights!$H$15,Resources!$B$1:$F$1,0)))+Weights!$I$15*IF(Weights!$J$15=0,$E133,INDEX(Resources!$B$2:$F$10,MATCH(CHOOSE(Weights!$J$15,$B133,$C133,$D133),Resources!$A$2:$A$10,0),MATCH(Weights!$K$15,Resources!$B$1:$F$1,0))))/10</f>
        <v>58.7</v>
      </c>
      <c r="K133" s="3" t="str">
        <f aca="false">IF(J133&lt;40,"Poor",IF(J133&lt;55,"Basic",IF(J133&lt;70,"Solid",IF(J133&lt;85,"Strong",IF(J133&lt;95,"Excellent","Exceptional")))))</f>
        <v>Solid</v>
      </c>
      <c r="L133" s="3" t="s">
        <v>50</v>
      </c>
      <c r="M133" s="6" t="n">
        <f aca="false">(Weights!$C$16*IF(Weights!$D$16=0,$E133,INDEX(Resources!$B$2:$F$10,MATCH(CHOOSE(Weights!$D$16,$B133,$C133,$D133),Resources!$A$2:$A$10,0),MATCH(Weights!$E$16,Resources!$B$1:$F$1,0)))+Weights!$F$16*IF(Weights!$G$16=0,$E133,INDEX(Resources!$B$2:$F$10,MATCH(CHOOSE(Weights!$G$16,$B133,$C133,$D133),Resources!$A$2:$A$10,0),MATCH(Weights!$H$16,Resources!$B$1:$F$1,0)))+Weights!$I$16*IF(Weights!$J$16=0,$E133,INDEX(Resources!$B$2:$F$10,MATCH(CHOOSE(Weights!$J$16,$B133,$C133,$D133),Resources!$A$2:$A$10,0),MATCH(Weights!$K$16,Resources!$B$1:$F$1,0))))/10</f>
        <v>62.5666666666667</v>
      </c>
      <c r="N133" s="3" t="str">
        <f aca="false">IF(M133&lt;40,"Poor",IF(M133&lt;55,"Basic",IF(M133&lt;70,"Solid",IF(M133&lt;85,"Strong",IF(M133&lt;95,"Excellent","Exceptional")))))</f>
        <v>Solid</v>
      </c>
      <c r="O133" s="6" t="n">
        <f aca="false">MIN(100,MAX(G133,J133,M133)*(1+0.05*3))</f>
        <v>85.3491666666667</v>
      </c>
      <c r="P133" s="3" t="str">
        <f aca="false">IF(O133&lt;40,"Poor",IF(O133&lt;55,"Basic",IF(O133&lt;70,"Solid",IF(O133&lt;85,"Strong",IF(O133&lt;95,"Excellent","Exceptional")))))</f>
        <v>Excellent</v>
      </c>
    </row>
    <row r="134" customFormat="false" ht="15" hidden="false" customHeight="true" outlineLevel="0" collapsed="false">
      <c r="A134" s="3" t="s">
        <v>47</v>
      </c>
      <c r="B134" s="4" t="s">
        <v>10</v>
      </c>
      <c r="C134" s="4" t="s">
        <v>14</v>
      </c>
      <c r="D134" s="4" t="s">
        <v>15</v>
      </c>
      <c r="E134" s="3" t="n">
        <f aca="false">AVERAGE(INDEX(Resources!$B$2:$F$10,MATCH($B134,Resources!$A$2:$A$10,0),1),INDEX(Resources!$B$2:$F$10,MATCH($C134,Resources!$A$2:$A$10,0),1),INDEX(Resources!$B$2:$F$10,MATCH($D134,Resources!$A$2:$A$10,0),1))</f>
        <v>616.666666666667</v>
      </c>
      <c r="F134" s="3" t="s">
        <v>48</v>
      </c>
      <c r="G134" s="6" t="n">
        <f aca="false">(Weights!$C$14*IF(Weights!$D$14=0,$E134,INDEX(Resources!$B$2:$F$10,MATCH(CHOOSE(Weights!$D$14,$B134,$C134,$D134),Resources!$A$2:$A$10,0),MATCH(Weights!$E$14,Resources!$B$1:$F$1,0)))+Weights!$F$14*IF(Weights!$G$14=0,$E134,INDEX(Resources!$B$2:$F$10,MATCH(CHOOSE(Weights!$G$14,$B134,$C134,$D134),Resources!$A$2:$A$10,0),MATCH(Weights!$H$14,Resources!$B$1:$F$1,0)))+Weights!$I$14*IF(Weights!$J$14=0,$E134,INDEX(Resources!$B$2:$F$10,MATCH(CHOOSE(Weights!$J$14,$B134,$C134,$D134),Resources!$A$2:$A$10,0),MATCH(Weights!$K$14,Resources!$B$1:$F$1,0))))/10</f>
        <v>69.7833333333333</v>
      </c>
      <c r="H134" s="3" t="str">
        <f aca="false">IF(G134&lt;40,"Poor",IF(G134&lt;55,"Basic",IF(G134&lt;70,"Solid",IF(G134&lt;85,"Strong",IF(G134&lt;95,"Excellent","Exceptional")))))</f>
        <v>Solid</v>
      </c>
      <c r="I134" s="3" t="s">
        <v>49</v>
      </c>
      <c r="J134" s="6" t="n">
        <f aca="false">(Weights!$C$15*IF(Weights!$D$15=0,$E134,INDEX(Resources!$B$2:$F$10,MATCH(CHOOSE(Weights!$D$15,$B134,$C134,$D134),Resources!$A$2:$A$10,0),MATCH(Weights!$E$15,Resources!$B$1:$F$1,0)))+Weights!$F$15*IF(Weights!$G$15=0,$E134,INDEX(Resources!$B$2:$F$10,MATCH(CHOOSE(Weights!$G$15,$B134,$C134,$D134),Resources!$A$2:$A$10,0),MATCH(Weights!$H$15,Resources!$B$1:$F$1,0)))+Weights!$I$15*IF(Weights!$J$15=0,$E134,INDEX(Resources!$B$2:$F$10,MATCH(CHOOSE(Weights!$J$15,$B134,$C134,$D134),Resources!$A$2:$A$10,0),MATCH(Weights!$K$15,Resources!$B$1:$F$1,0))))/10</f>
        <v>62.1</v>
      </c>
      <c r="K134" s="3" t="str">
        <f aca="false">IF(J134&lt;40,"Poor",IF(J134&lt;55,"Basic",IF(J134&lt;70,"Solid",IF(J134&lt;85,"Strong",IF(J134&lt;95,"Excellent","Exceptional")))))</f>
        <v>Solid</v>
      </c>
      <c r="L134" s="3" t="s">
        <v>50</v>
      </c>
      <c r="M134" s="6" t="n">
        <f aca="false">(Weights!$C$16*IF(Weights!$D$16=0,$E134,INDEX(Resources!$B$2:$F$10,MATCH(CHOOSE(Weights!$D$16,$B134,$C134,$D134),Resources!$A$2:$A$10,0),MATCH(Weights!$E$16,Resources!$B$1:$F$1,0)))+Weights!$F$16*IF(Weights!$G$16=0,$E134,INDEX(Resources!$B$2:$F$10,MATCH(CHOOSE(Weights!$G$16,$B134,$C134,$D134),Resources!$A$2:$A$10,0),MATCH(Weights!$H$16,Resources!$B$1:$F$1,0)))+Weights!$I$16*IF(Weights!$J$16=0,$E134,INDEX(Resources!$B$2:$F$10,MATCH(CHOOSE(Weights!$J$16,$B134,$C134,$D134),Resources!$A$2:$A$10,0),MATCH(Weights!$K$16,Resources!$B$1:$F$1,0))))/10</f>
        <v>66.9833333333333</v>
      </c>
      <c r="N134" s="3" t="str">
        <f aca="false">IF(M134&lt;40,"Poor",IF(M134&lt;55,"Basic",IF(M134&lt;70,"Solid",IF(M134&lt;85,"Strong",IF(M134&lt;95,"Excellent","Exceptional")))))</f>
        <v>Solid</v>
      </c>
      <c r="O134" s="6" t="n">
        <f aca="false">MIN(100,MAX(G134,J134,M134)*(1+0.05*3))</f>
        <v>80.2508333333333</v>
      </c>
      <c r="P134" s="3" t="str">
        <f aca="false">IF(O134&lt;40,"Poor",IF(O134&lt;55,"Basic",IF(O134&lt;70,"Solid",IF(O134&lt;85,"Strong",IF(O134&lt;95,"Excellent","Exceptional")))))</f>
        <v>Strong</v>
      </c>
    </row>
    <row r="135" customFormat="false" ht="15" hidden="false" customHeight="true" outlineLevel="0" collapsed="false">
      <c r="A135" s="3" t="s">
        <v>47</v>
      </c>
      <c r="B135" s="4" t="s">
        <v>10</v>
      </c>
      <c r="C135" s="4" t="s">
        <v>14</v>
      </c>
      <c r="D135" s="4" t="s">
        <v>17</v>
      </c>
      <c r="E135" s="3" t="n">
        <f aca="false">AVERAGE(INDEX(Resources!$B$2:$F$10,MATCH($B135,Resources!$A$2:$A$10,0),1),INDEX(Resources!$B$2:$F$10,MATCH($C135,Resources!$A$2:$A$10,0),1),INDEX(Resources!$B$2:$F$10,MATCH($D135,Resources!$A$2:$A$10,0),1))</f>
        <v>586.666666666667</v>
      </c>
      <c r="F135" s="3" t="s">
        <v>48</v>
      </c>
      <c r="G135" s="6" t="n">
        <f aca="false">(Weights!$C$14*IF(Weights!$D$14=0,$E135,INDEX(Resources!$B$2:$F$10,MATCH(CHOOSE(Weights!$D$14,$B135,$C135,$D135),Resources!$A$2:$A$10,0),MATCH(Weights!$E$14,Resources!$B$1:$F$1,0)))+Weights!$F$14*IF(Weights!$G$14=0,$E135,INDEX(Resources!$B$2:$F$10,MATCH(CHOOSE(Weights!$G$14,$B135,$C135,$D135),Resources!$A$2:$A$10,0),MATCH(Weights!$H$14,Resources!$B$1:$F$1,0)))+Weights!$I$14*IF(Weights!$J$14=0,$E135,INDEX(Resources!$B$2:$F$10,MATCH(CHOOSE(Weights!$J$14,$B135,$C135,$D135),Resources!$A$2:$A$10,0),MATCH(Weights!$K$14,Resources!$B$1:$F$1,0))))/10</f>
        <v>68.7333333333333</v>
      </c>
      <c r="H135" s="3" t="str">
        <f aca="false">IF(G135&lt;40,"Poor",IF(G135&lt;55,"Basic",IF(G135&lt;70,"Solid",IF(G135&lt;85,"Strong",IF(G135&lt;95,"Excellent","Exceptional")))))</f>
        <v>Solid</v>
      </c>
      <c r="I135" s="3" t="s">
        <v>49</v>
      </c>
      <c r="J135" s="6" t="n">
        <f aca="false">(Weights!$C$15*IF(Weights!$D$15=0,$E135,INDEX(Resources!$B$2:$F$10,MATCH(CHOOSE(Weights!$D$15,$B135,$C135,$D135),Resources!$A$2:$A$10,0),MATCH(Weights!$E$15,Resources!$B$1:$F$1,0)))+Weights!$F$15*IF(Weights!$G$15=0,$E135,INDEX(Resources!$B$2:$F$10,MATCH(CHOOSE(Weights!$G$15,$B135,$C135,$D135),Resources!$A$2:$A$10,0),MATCH(Weights!$H$15,Resources!$B$1:$F$1,0)))+Weights!$I$15*IF(Weights!$J$15=0,$E135,INDEX(Resources!$B$2:$F$10,MATCH(CHOOSE(Weights!$J$15,$B135,$C135,$D135),Resources!$A$2:$A$10,0),MATCH(Weights!$K$15,Resources!$B$1:$F$1,0))))/10</f>
        <v>41.1</v>
      </c>
      <c r="K135" s="3" t="str">
        <f aca="false">IF(J135&lt;40,"Poor",IF(J135&lt;55,"Basic",IF(J135&lt;70,"Solid",IF(J135&lt;85,"Strong",IF(J135&lt;95,"Excellent","Exceptional")))))</f>
        <v>Basic</v>
      </c>
      <c r="L135" s="3" t="s">
        <v>50</v>
      </c>
      <c r="M135" s="6" t="n">
        <f aca="false">(Weights!$C$16*IF(Weights!$D$16=0,$E135,INDEX(Resources!$B$2:$F$10,MATCH(CHOOSE(Weights!$D$16,$B135,$C135,$D135),Resources!$A$2:$A$10,0),MATCH(Weights!$E$16,Resources!$B$1:$F$1,0)))+Weights!$F$16*IF(Weights!$G$16=0,$E135,INDEX(Resources!$B$2:$F$10,MATCH(CHOOSE(Weights!$G$16,$B135,$C135,$D135),Resources!$A$2:$A$10,0),MATCH(Weights!$H$16,Resources!$B$1:$F$1,0)))+Weights!$I$16*IF(Weights!$J$16=0,$E135,INDEX(Resources!$B$2:$F$10,MATCH(CHOOSE(Weights!$J$16,$B135,$C135,$D135),Resources!$A$2:$A$10,0),MATCH(Weights!$K$16,Resources!$B$1:$F$1,0))))/10</f>
        <v>36.2333333333333</v>
      </c>
      <c r="N135" s="3" t="str">
        <f aca="false">IF(M135&lt;40,"Poor",IF(M135&lt;55,"Basic",IF(M135&lt;70,"Solid",IF(M135&lt;85,"Strong",IF(M135&lt;95,"Excellent","Exceptional")))))</f>
        <v>Poor</v>
      </c>
      <c r="O135" s="6" t="n">
        <f aca="false">MIN(100,MAX(G135,J135,M135)*(1+0.05*3))</f>
        <v>79.0433333333333</v>
      </c>
      <c r="P135" s="3" t="str">
        <f aca="false">IF(O135&lt;40,"Poor",IF(O135&lt;55,"Basic",IF(O135&lt;70,"Solid",IF(O135&lt;85,"Strong",IF(O135&lt;95,"Excellent","Exceptional")))))</f>
        <v>Strong</v>
      </c>
    </row>
    <row r="136" customFormat="false" ht="15" hidden="false" customHeight="true" outlineLevel="0" collapsed="false">
      <c r="A136" s="3" t="s">
        <v>47</v>
      </c>
      <c r="B136" s="4" t="s">
        <v>10</v>
      </c>
      <c r="C136" s="4" t="s">
        <v>14</v>
      </c>
      <c r="D136" s="4" t="s">
        <v>18</v>
      </c>
      <c r="E136" s="3" t="n">
        <f aca="false">AVERAGE(INDEX(Resources!$B$2:$F$10,MATCH($B136,Resources!$A$2:$A$10,0),1),INDEX(Resources!$B$2:$F$10,MATCH($C136,Resources!$A$2:$A$10,0),1),INDEX(Resources!$B$2:$F$10,MATCH($D136,Resources!$A$2:$A$10,0),1))</f>
        <v>656.666666666667</v>
      </c>
      <c r="F136" s="3" t="s">
        <v>48</v>
      </c>
      <c r="G136" s="6" t="n">
        <f aca="false">(Weights!$C$14*IF(Weights!$D$14=0,$E136,INDEX(Resources!$B$2:$F$10,MATCH(CHOOSE(Weights!$D$14,$B136,$C136,$D136),Resources!$A$2:$A$10,0),MATCH(Weights!$E$14,Resources!$B$1:$F$1,0)))+Weights!$F$14*IF(Weights!$G$14=0,$E136,INDEX(Resources!$B$2:$F$10,MATCH(CHOOSE(Weights!$G$14,$B136,$C136,$D136),Resources!$A$2:$A$10,0),MATCH(Weights!$H$14,Resources!$B$1:$F$1,0)))+Weights!$I$14*IF(Weights!$J$14=0,$E136,INDEX(Resources!$B$2:$F$10,MATCH(CHOOSE(Weights!$J$14,$B136,$C136,$D136),Resources!$A$2:$A$10,0),MATCH(Weights!$K$14,Resources!$B$1:$F$1,0))))/10</f>
        <v>71.1833333333333</v>
      </c>
      <c r="H136" s="3" t="str">
        <f aca="false">IF(G136&lt;40,"Poor",IF(G136&lt;55,"Basic",IF(G136&lt;70,"Solid",IF(G136&lt;85,"Strong",IF(G136&lt;95,"Excellent","Exceptional")))))</f>
        <v>Strong</v>
      </c>
      <c r="I136" s="3" t="s">
        <v>49</v>
      </c>
      <c r="J136" s="6" t="n">
        <f aca="false">(Weights!$C$15*IF(Weights!$D$15=0,$E136,INDEX(Resources!$B$2:$F$10,MATCH(CHOOSE(Weights!$D$15,$B136,$C136,$D136),Resources!$A$2:$A$10,0),MATCH(Weights!$E$15,Resources!$B$1:$F$1,0)))+Weights!$F$15*IF(Weights!$G$15=0,$E136,INDEX(Resources!$B$2:$F$10,MATCH(CHOOSE(Weights!$G$15,$B136,$C136,$D136),Resources!$A$2:$A$10,0),MATCH(Weights!$H$15,Resources!$B$1:$F$1,0)))+Weights!$I$15*IF(Weights!$J$15=0,$E136,INDEX(Resources!$B$2:$F$10,MATCH(CHOOSE(Weights!$J$15,$B136,$C136,$D136),Resources!$A$2:$A$10,0),MATCH(Weights!$K$15,Resources!$B$1:$F$1,0))))/10</f>
        <v>56.1</v>
      </c>
      <c r="K136" s="3" t="str">
        <f aca="false">IF(J136&lt;40,"Poor",IF(J136&lt;55,"Basic",IF(J136&lt;70,"Solid",IF(J136&lt;85,"Strong",IF(J136&lt;95,"Excellent","Exceptional")))))</f>
        <v>Solid</v>
      </c>
      <c r="L136" s="3" t="s">
        <v>50</v>
      </c>
      <c r="M136" s="6" t="n">
        <f aca="false">(Weights!$C$16*IF(Weights!$D$16=0,$E136,INDEX(Resources!$B$2:$F$10,MATCH(CHOOSE(Weights!$D$16,$B136,$C136,$D136),Resources!$A$2:$A$10,0),MATCH(Weights!$E$16,Resources!$B$1:$F$1,0)))+Weights!$F$16*IF(Weights!$G$16=0,$E136,INDEX(Resources!$B$2:$F$10,MATCH(CHOOSE(Weights!$G$16,$B136,$C136,$D136),Resources!$A$2:$A$10,0),MATCH(Weights!$H$16,Resources!$B$1:$F$1,0)))+Weights!$I$16*IF(Weights!$J$16=0,$E136,INDEX(Resources!$B$2:$F$10,MATCH(CHOOSE(Weights!$J$16,$B136,$C136,$D136),Resources!$A$2:$A$10,0),MATCH(Weights!$K$16,Resources!$B$1:$F$1,0))))/10</f>
        <v>56.9833333333333</v>
      </c>
      <c r="N136" s="3" t="str">
        <f aca="false">IF(M136&lt;40,"Poor",IF(M136&lt;55,"Basic",IF(M136&lt;70,"Solid",IF(M136&lt;85,"Strong",IF(M136&lt;95,"Excellent","Exceptional")))))</f>
        <v>Solid</v>
      </c>
      <c r="O136" s="6" t="n">
        <f aca="false">MIN(100,MAX(G136,J136,M136)*(1+0.05*3))</f>
        <v>81.8608333333333</v>
      </c>
      <c r="P136" s="3" t="str">
        <f aca="false">IF(O136&lt;40,"Poor",IF(O136&lt;55,"Basic",IF(O136&lt;70,"Solid",IF(O136&lt;85,"Strong",IF(O136&lt;95,"Excellent","Exceptional")))))</f>
        <v>Strong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4"/>
  </cols>
  <sheetData>
    <row r="1" customFormat="false" ht="15" hidden="false" customHeight="true" outlineLevel="0" collapsed="false">
      <c r="A1" s="7" t="s">
        <v>63</v>
      </c>
    </row>
    <row r="3" customFormat="false" ht="15" hidden="false" customHeight="true" outlineLevel="0" collapsed="false">
      <c r="A3" s="3" t="s">
        <v>64</v>
      </c>
      <c r="B3" s="6" t="n">
        <f aca="false">'Craft Model'!G96</f>
        <v>89.05</v>
      </c>
    </row>
    <row r="4" customFormat="false" ht="15" hidden="false" customHeight="true" outlineLevel="0" collapsed="false">
      <c r="A4" s="3" t="s">
        <v>65</v>
      </c>
      <c r="B4" s="8" t="n">
        <v>3</v>
      </c>
    </row>
    <row r="5" customFormat="false" ht="15" hidden="false" customHeight="true" outlineLevel="0" collapsed="false">
      <c r="A5" s="3" t="s">
        <v>66</v>
      </c>
      <c r="B5" s="6" t="n">
        <f aca="false">MIN(100,B3*(1+0.05*B4))</f>
        <v>100</v>
      </c>
    </row>
    <row r="6" customFormat="false" ht="15" hidden="false" customHeight="true" outlineLevel="0" collapsed="false">
      <c r="A6" s="3" t="s">
        <v>67</v>
      </c>
      <c r="B6" s="6" t="n">
        <f aca="false">B5</f>
        <v>100</v>
      </c>
    </row>
    <row r="7" customFormat="false" ht="15" hidden="false" customHeight="true" outlineLevel="0" collapsed="false">
      <c r="A7" s="3" t="s">
        <v>68</v>
      </c>
      <c r="B7" s="6" t="n">
        <f aca="false">MIN(100,B5*1.03)</f>
        <v>100</v>
      </c>
    </row>
    <row r="8" customFormat="false" ht="15" hidden="false" customHeight="true" outlineLevel="0" collapsed="false">
      <c r="A8" s="3" t="s">
        <v>69</v>
      </c>
      <c r="B8" s="6" t="n">
        <f aca="false">0.75*B7+0.25*B5</f>
        <v>100</v>
      </c>
    </row>
    <row r="9" customFormat="false" ht="15" hidden="false" customHeight="true" outlineLevel="0" collapsed="false">
      <c r="A9" s="3" t="s">
        <v>70</v>
      </c>
      <c r="B9" s="9" t="n">
        <v>0.05</v>
      </c>
    </row>
    <row r="11" customFormat="false" ht="15" hidden="false" customHeight="true" outlineLevel="0" collapsed="false">
      <c r="A11" s="7" t="s">
        <v>71</v>
      </c>
    </row>
    <row r="12" customFormat="false" ht="15" hidden="false" customHeight="true" outlineLevel="0" collapsed="false">
      <c r="A12" s="1" t="s">
        <v>72</v>
      </c>
      <c r="B12" s="6" t="n">
        <f aca="false">'Craft Model'!G96</f>
        <v>89.05</v>
      </c>
    </row>
    <row r="13" customFormat="false" ht="15" hidden="false" customHeight="true" outlineLevel="0" collapsed="false">
      <c r="A13" s="1" t="s">
        <v>73</v>
      </c>
      <c r="B13" s="6" t="n">
        <f aca="false">MIN(100,'Craft Model'!G83*1.15)</f>
        <v>65.895</v>
      </c>
    </row>
    <row r="14" customFormat="false" ht="15" hidden="false" customHeight="true" outlineLevel="0" collapsed="false">
      <c r="A14" s="1" t="s">
        <v>74</v>
      </c>
      <c r="B14" s="6" t="n">
        <f aca="false">B12-B13</f>
        <v>23.155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7" t="s">
        <v>75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76</v>
      </c>
    </row>
    <row r="4" customFormat="false" ht="15" hidden="false" customHeight="true" outlineLevel="0" collapsed="false">
      <c r="A4" s="3" t="s">
        <v>77</v>
      </c>
    </row>
    <row r="5" customFormat="false" ht="15" hidden="false" customHeight="true" outlineLevel="0" collapsed="false">
      <c r="A5" s="3" t="s">
        <v>78</v>
      </c>
    </row>
    <row r="6" customFormat="false" ht="15" hidden="false" customHeight="true" outlineLevel="0" collapsed="false">
      <c r="A6" s="3" t="s">
        <v>79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3" t="s">
        <v>80</v>
      </c>
    </row>
    <row r="9" customFormat="false" ht="15" hidden="false" customHeight="true" outlineLevel="0" collapsed="false">
      <c r="A9" s="3" t="s">
        <v>81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3" t="s">
        <v>82</v>
      </c>
    </row>
    <row r="12" customFormat="false" ht="15" hidden="false" customHeight="true" outlineLevel="0" collapsed="false">
      <c r="A12" s="5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2026-06-10T05:44:51Z</dcterms:created>
  <dc:creator>openpyxl</dc:creator>
  <dc:description/>
  <dc:language>en-US</dc:language>
  <cp:lastModifiedBy/>
  <dcterms:modified xsi:type="dcterms:W3CDTF">2026-06-10T05:45:14Z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